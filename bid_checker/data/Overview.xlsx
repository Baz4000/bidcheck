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Kalittaair\KAShare\FLIGHT OPERATIONS\CREW SCHEDULING\2026 Bid Packages\May 2026\FIles for Publish\"/>
    </mc:Choice>
  </mc:AlternateContent>
  <xr:revisionPtr revIDLastSave="0" documentId="13_ncr:1_{D09372E3-856D-4847-9DFD-FAA29AD51A5C}" xr6:coauthVersionLast="47" xr6:coauthVersionMax="47" xr10:uidLastSave="{00000000-0000-0000-0000-000000000000}"/>
  <bookViews>
    <workbookView xWindow="38280" yWindow="-120" windowWidth="38640" windowHeight="21240" xr2:uid="{D6D1C10C-5E6B-4465-A25E-BFD51E013AEA}"/>
  </bookViews>
  <sheets>
    <sheet name="777 Overview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2" i="1"/>
</calcChain>
</file>

<file path=xl/sharedStrings.xml><?xml version="1.0" encoding="utf-8"?>
<sst xmlns="http://schemas.openxmlformats.org/spreadsheetml/2006/main" count="2022" uniqueCount="208">
  <si>
    <t>Line Name</t>
  </si>
  <si>
    <t>Crew Complement</t>
  </si>
  <si>
    <t>Credit</t>
  </si>
  <si>
    <t>F1</t>
  </si>
  <si>
    <t>60+59</t>
  </si>
  <si>
    <t>x</t>
  </si>
  <si>
    <t>F2</t>
  </si>
  <si>
    <t>39+34</t>
  </si>
  <si>
    <t>F4</t>
  </si>
  <si>
    <t>40+41</t>
  </si>
  <si>
    <t>F5</t>
  </si>
  <si>
    <t>F7</t>
  </si>
  <si>
    <t>72+20</t>
  </si>
  <si>
    <t>F55</t>
  </si>
  <si>
    <t>74+15</t>
  </si>
  <si>
    <t>F56</t>
  </si>
  <si>
    <t>70+20</t>
  </si>
  <si>
    <t>F8</t>
  </si>
  <si>
    <t>75+20</t>
  </si>
  <si>
    <t>F9</t>
  </si>
  <si>
    <t>55+25</t>
  </si>
  <si>
    <t>F93</t>
  </si>
  <si>
    <t>61+00</t>
  </si>
  <si>
    <t>F10</t>
  </si>
  <si>
    <t>70+25</t>
  </si>
  <si>
    <t>F11</t>
  </si>
  <si>
    <t>88+40</t>
  </si>
  <si>
    <t>F57</t>
  </si>
  <si>
    <t>36+40</t>
  </si>
  <si>
    <t>F91</t>
  </si>
  <si>
    <t>89+12</t>
  </si>
  <si>
    <t>F46</t>
  </si>
  <si>
    <t>65+32</t>
  </si>
  <si>
    <t>F12</t>
  </si>
  <si>
    <t>89+57</t>
  </si>
  <si>
    <t>F47</t>
  </si>
  <si>
    <t>56+20</t>
  </si>
  <si>
    <t>F48</t>
  </si>
  <si>
    <t>63+52</t>
  </si>
  <si>
    <t>F13</t>
  </si>
  <si>
    <t>63+45</t>
  </si>
  <si>
    <t>F49</t>
  </si>
  <si>
    <t>79+04</t>
  </si>
  <si>
    <t>F78</t>
  </si>
  <si>
    <t>83+59</t>
  </si>
  <si>
    <t>F79</t>
  </si>
  <si>
    <t>61+35</t>
  </si>
  <si>
    <t>F14</t>
  </si>
  <si>
    <t>64+00</t>
  </si>
  <si>
    <t>F15</t>
  </si>
  <si>
    <t>70+10</t>
  </si>
  <si>
    <t>F16</t>
  </si>
  <si>
    <t>77+30</t>
  </si>
  <si>
    <t>F58</t>
  </si>
  <si>
    <t>50+45</t>
  </si>
  <si>
    <t>F50</t>
  </si>
  <si>
    <t>56+07</t>
  </si>
  <si>
    <t>F51</t>
  </si>
  <si>
    <t>75+32</t>
  </si>
  <si>
    <t>F17</t>
  </si>
  <si>
    <t>74+40</t>
  </si>
  <si>
    <t>F59</t>
  </si>
  <si>
    <t>67+25</t>
  </si>
  <si>
    <t>F18</t>
  </si>
  <si>
    <t>82+12</t>
  </si>
  <si>
    <t>F60</t>
  </si>
  <si>
    <t>F19</t>
  </si>
  <si>
    <t>75+07</t>
  </si>
  <si>
    <t>F61</t>
  </si>
  <si>
    <t>59+10</t>
  </si>
  <si>
    <t>F20</t>
  </si>
  <si>
    <t>50+02</t>
  </si>
  <si>
    <t>F21</t>
  </si>
  <si>
    <t>87+20</t>
  </si>
  <si>
    <t>F22</t>
  </si>
  <si>
    <t>55+05</t>
  </si>
  <si>
    <t>F23</t>
  </si>
  <si>
    <t>63+00</t>
  </si>
  <si>
    <t>F52</t>
  </si>
  <si>
    <t>83+42</t>
  </si>
  <si>
    <t>F62</t>
  </si>
  <si>
    <t>71+30</t>
  </si>
  <si>
    <t>F24</t>
  </si>
  <si>
    <t>74+20</t>
  </si>
  <si>
    <t>F63</t>
  </si>
  <si>
    <t>57+20</t>
  </si>
  <si>
    <t>F64</t>
  </si>
  <si>
    <t>F25</t>
  </si>
  <si>
    <t>73+25</t>
  </si>
  <si>
    <t>F65</t>
  </si>
  <si>
    <t>63+40</t>
  </si>
  <si>
    <t>F26</t>
  </si>
  <si>
    <t>76+45</t>
  </si>
  <si>
    <t>F53</t>
  </si>
  <si>
    <t>82+35</t>
  </si>
  <si>
    <t>F27</t>
  </si>
  <si>
    <t>85+45</t>
  </si>
  <si>
    <t>F66</t>
  </si>
  <si>
    <t>57+35</t>
  </si>
  <si>
    <t>F80</t>
  </si>
  <si>
    <t>78+02</t>
  </si>
  <si>
    <t>F28</t>
  </si>
  <si>
    <t>71+35</t>
  </si>
  <si>
    <t>F67</t>
  </si>
  <si>
    <t>67+17</t>
  </si>
  <si>
    <t>F68</t>
  </si>
  <si>
    <t>53+57</t>
  </si>
  <si>
    <t>F81</t>
  </si>
  <si>
    <t>80+52</t>
  </si>
  <si>
    <t>F82</t>
  </si>
  <si>
    <t>F83</t>
  </si>
  <si>
    <t>89+22</t>
  </si>
  <si>
    <t>F29</t>
  </si>
  <si>
    <t>71+50</t>
  </si>
  <si>
    <t>F84</t>
  </si>
  <si>
    <t>74+35</t>
  </si>
  <si>
    <t>F85</t>
  </si>
  <si>
    <t>F30</t>
  </si>
  <si>
    <t>65+07</t>
  </si>
  <si>
    <t>F31</t>
  </si>
  <si>
    <t>83+47</t>
  </si>
  <si>
    <t>F32</t>
  </si>
  <si>
    <t>95+50</t>
  </si>
  <si>
    <t>F33</t>
  </si>
  <si>
    <t>75+00</t>
  </si>
  <si>
    <t>F34</t>
  </si>
  <si>
    <t>73+40</t>
  </si>
  <si>
    <t>F54</t>
  </si>
  <si>
    <t>71+57</t>
  </si>
  <si>
    <t>F86</t>
  </si>
  <si>
    <t>88+37</t>
  </si>
  <si>
    <t>F35</t>
  </si>
  <si>
    <t>58+00</t>
  </si>
  <si>
    <t>F69</t>
  </si>
  <si>
    <t>55+20</t>
  </si>
  <si>
    <t>F36</t>
  </si>
  <si>
    <t>54+17</t>
  </si>
  <si>
    <t>F37</t>
  </si>
  <si>
    <t>85+50</t>
  </si>
  <si>
    <t>F87</t>
  </si>
  <si>
    <t>70+45</t>
  </si>
  <si>
    <t>F38</t>
  </si>
  <si>
    <t>70+02</t>
  </si>
  <si>
    <t>F39</t>
  </si>
  <si>
    <t>65+44</t>
  </si>
  <si>
    <t>F70</t>
  </si>
  <si>
    <t>F71</t>
  </si>
  <si>
    <t>85+30</t>
  </si>
  <si>
    <t>F88</t>
  </si>
  <si>
    <t>84+55</t>
  </si>
  <si>
    <t>F40</t>
  </si>
  <si>
    <t>71+25</t>
  </si>
  <si>
    <t>F77</t>
  </si>
  <si>
    <t>68+15</t>
  </si>
  <si>
    <t>F72</t>
  </si>
  <si>
    <t>55+00</t>
  </si>
  <si>
    <t>F89</t>
  </si>
  <si>
    <t>73+00</t>
  </si>
  <si>
    <t>F90</t>
  </si>
  <si>
    <t>57+42</t>
  </si>
  <si>
    <t>F73</t>
  </si>
  <si>
    <t>59+30</t>
  </si>
  <si>
    <t>F74</t>
  </si>
  <si>
    <t>59+02</t>
  </si>
  <si>
    <t>F41</t>
  </si>
  <si>
    <t>63+15</t>
  </si>
  <si>
    <t>F92</t>
  </si>
  <si>
    <t>75+10</t>
  </si>
  <si>
    <t>F75</t>
  </si>
  <si>
    <t>51+50</t>
  </si>
  <si>
    <t>F42</t>
  </si>
  <si>
    <t>48+30</t>
  </si>
  <si>
    <t>F43</t>
  </si>
  <si>
    <t>66+20</t>
  </si>
  <si>
    <t>F44</t>
  </si>
  <si>
    <t>68+22</t>
  </si>
  <si>
    <t>F45</t>
  </si>
  <si>
    <t>F76</t>
  </si>
  <si>
    <t>54+45</t>
  </si>
  <si>
    <t>F3</t>
  </si>
  <si>
    <t>F6</t>
  </si>
  <si>
    <t>38+46</t>
  </si>
  <si>
    <t>Q94</t>
  </si>
  <si>
    <t>Q95</t>
  </si>
  <si>
    <t>Q96</t>
  </si>
  <si>
    <t>Q111</t>
  </si>
  <si>
    <t>Q110</t>
  </si>
  <si>
    <t>Q109</t>
  </si>
  <si>
    <t>Q108</t>
  </si>
  <si>
    <t>Q107</t>
  </si>
  <si>
    <t>Q106</t>
  </si>
  <si>
    <t>Q105</t>
  </si>
  <si>
    <t>Q104</t>
  </si>
  <si>
    <t>Q103</t>
  </si>
  <si>
    <t>Q102</t>
  </si>
  <si>
    <t>Q101</t>
  </si>
  <si>
    <t>Q100</t>
  </si>
  <si>
    <t>Q99</t>
  </si>
  <si>
    <t>Q98</t>
  </si>
  <si>
    <t>Q97</t>
  </si>
  <si>
    <t>1 CA ONLY</t>
  </si>
  <si>
    <t>1 CA 1 FO</t>
  </si>
  <si>
    <t>1 CA 2 FO</t>
  </si>
  <si>
    <t>2 CA 1 FO</t>
  </si>
  <si>
    <t>e</t>
  </si>
  <si>
    <t>Duty Days</t>
  </si>
  <si>
    <t>Days Off</t>
  </si>
  <si>
    <t>Carry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</si>
</sst>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7" fontId="0" fillId="34" borderId="10" xfId="0" applyNumberFormat="1" applyFill="1" applyBorder="1" applyAlignment="1">
      <alignment horizontal="center" vertical="center"/>
    </xf>
    <xf numFmtId="16" fontId="0" fillId="35" borderId="10" xfId="0" applyNumberFormat="1" applyFill="1" applyBorder="1" applyAlignment="1">
      <alignment horizontal="center" vertical="center"/>
    </xf>
    <xf numFmtId="16" fontId="0" fillId="34" borderId="10" xfId="0" applyNumberForma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2424-B79A-454D-87E7-6EE944D8F1A0}">
  <dimension ref="A1:AQ113"/>
  <sheetViews>
    <sheetView tabSelected="1" workbookViewId="0">
      <selection activeCell="B99" sqref="B99:B113"/>
    </sheetView>
  </sheetViews>
  <sheetFormatPr defaultColWidth="9.125" defaultRowHeight="14.25"/>
  <cols>
    <col min="1" max="1" width="10.25" style="1" bestFit="1" customWidth="1"/>
    <col min="2" max="2" width="17" style="1" bestFit="1" customWidth="1"/>
    <col min="3" max="3" width="6.125" style="1" bestFit="1" customWidth="1"/>
    <col min="4" max="4" width="9.625" style="1" bestFit="1" customWidth="1"/>
    <col min="5" max="5" width="8.25" style="1" bestFit="1" customWidth="1"/>
    <col min="6" max="6" width="7.75" style="1" bestFit="1" customWidth="1"/>
    <col min="7" max="12" width="6.25" style="1" bestFit="1" customWidth="1"/>
    <col min="13" max="37" width="7.25" style="1" bestFit="1" customWidth="1"/>
    <col min="38" max="43" width="5.75" style="1" bestFit="1" customWidth="1"/>
    <col min="44" max="16384" width="9.125" style="1"/>
  </cols>
  <sheetData>
    <row r="1" spans="1:43">
      <c r="A1" s="2" t="s">
        <v>0</v>
      </c>
      <c r="B1" s="2" t="s">
        <v>1</v>
      </c>
      <c r="C1" s="2" t="s">
        <v>2</v>
      </c>
      <c r="D1" s="2" t="s">
        <v>205</v>
      </c>
      <c r="E1" s="2" t="s">
        <v>206</v>
      </c>
      <c r="F1" s="2" t="s">
        <v>207</v>
      </c>
      <c r="G1" s="3">
        <v>46143</v>
      </c>
      <c r="H1" s="3">
        <v>46144</v>
      </c>
      <c r="I1" s="3">
        <v>46145</v>
      </c>
      <c r="J1" s="3">
        <v>46146</v>
      </c>
      <c r="K1" s="3">
        <v>46147</v>
      </c>
      <c r="L1" s="3">
        <v>46148</v>
      </c>
      <c r="M1" s="3">
        <v>46149</v>
      </c>
      <c r="N1" s="3">
        <v>46150</v>
      </c>
      <c r="O1" s="3">
        <v>46151</v>
      </c>
      <c r="P1" s="3">
        <v>46152</v>
      </c>
      <c r="Q1" s="3">
        <v>46153</v>
      </c>
      <c r="R1" s="3">
        <v>46154</v>
      </c>
      <c r="S1" s="3">
        <v>46155</v>
      </c>
      <c r="T1" s="3">
        <v>46156</v>
      </c>
      <c r="U1" s="3">
        <v>46157</v>
      </c>
      <c r="V1" s="3">
        <v>46158</v>
      </c>
      <c r="W1" s="3">
        <v>46159</v>
      </c>
      <c r="X1" s="3">
        <v>46160</v>
      </c>
      <c r="Y1" s="3">
        <v>46161</v>
      </c>
      <c r="Z1" s="3">
        <v>46162</v>
      </c>
      <c r="AA1" s="3">
        <v>46163</v>
      </c>
      <c r="AB1" s="3">
        <v>46164</v>
      </c>
      <c r="AC1" s="3">
        <v>46165</v>
      </c>
      <c r="AD1" s="3">
        <v>46166</v>
      </c>
      <c r="AE1" s="3">
        <v>46167</v>
      </c>
      <c r="AF1" s="3">
        <v>46168</v>
      </c>
      <c r="AG1" s="3">
        <v>46169</v>
      </c>
      <c r="AH1" s="3">
        <v>46170</v>
      </c>
      <c r="AI1" s="3">
        <v>46171</v>
      </c>
      <c r="AJ1" s="3">
        <v>46172</v>
      </c>
      <c r="AK1" s="3">
        <v>46173</v>
      </c>
      <c r="AL1" s="6">
        <v>46174</v>
      </c>
      <c r="AM1" s="6">
        <v>46175</v>
      </c>
      <c r="AN1" s="6">
        <v>46176</v>
      </c>
      <c r="AO1" s="6">
        <v>46177</v>
      </c>
      <c r="AP1" s="6">
        <v>46178</v>
      </c>
      <c r="AQ1" s="6">
        <v>46179</v>
      </c>
    </row>
    <row r="2" spans="1:43">
      <c r="A2" s="2" t="s">
        <v>3</v>
      </c>
      <c r="B2" s="7" t="s">
        <v>201</v>
      </c>
      <c r="C2" s="2" t="s">
        <v>4</v>
      </c>
      <c r="D2" s="2">
        <f>COUNTIF(G2:AK2, "&lt;&gt;")</f>
        <v>16</v>
      </c>
      <c r="E2" s="2">
        <f>31-D2</f>
        <v>15</v>
      </c>
      <c r="F2" s="2">
        <f>COUNTIF(AL2:AQ2, "&lt;&gt;")</f>
        <v>0</v>
      </c>
      <c r="G2" s="2"/>
      <c r="H2" s="2">
        <v>713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8"/>
      <c r="AM2" s="8"/>
      <c r="AN2" s="8"/>
      <c r="AO2" s="8"/>
      <c r="AP2" s="8"/>
      <c r="AQ2" s="8"/>
    </row>
    <row r="3" spans="1:43">
      <c r="A3" s="2" t="s">
        <v>6</v>
      </c>
      <c r="B3" s="7" t="s">
        <v>201</v>
      </c>
      <c r="C3" s="2" t="s">
        <v>7</v>
      </c>
      <c r="D3" s="2">
        <f t="shared" ref="D3:D66" si="0">COUNTIF(G3:AK3, "&lt;&gt;")</f>
        <v>16</v>
      </c>
      <c r="E3" s="2">
        <f t="shared" ref="E3:E66" si="1">31-D3</f>
        <v>15</v>
      </c>
      <c r="F3" s="2">
        <f t="shared" ref="F3:F66" si="2">COUNTIF(AL3:AQ3, "&lt;&gt;")</f>
        <v>0</v>
      </c>
      <c r="G3" s="2" t="s">
        <v>5</v>
      </c>
      <c r="H3" s="2" t="s">
        <v>5</v>
      </c>
      <c r="I3" s="2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v>778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  <c r="AI3" s="2" t="s">
        <v>5</v>
      </c>
      <c r="AJ3" s="2" t="s">
        <v>5</v>
      </c>
      <c r="AK3" s="2" t="s">
        <v>5</v>
      </c>
      <c r="AL3" s="8"/>
      <c r="AM3" s="8"/>
      <c r="AN3" s="8"/>
      <c r="AO3" s="8"/>
      <c r="AP3" s="8"/>
      <c r="AQ3" s="8"/>
    </row>
    <row r="4" spans="1:43">
      <c r="A4" s="2" t="s">
        <v>179</v>
      </c>
      <c r="B4" s="7" t="s">
        <v>201</v>
      </c>
      <c r="C4" s="2" t="s">
        <v>4</v>
      </c>
      <c r="D4" s="2">
        <f t="shared" si="0"/>
        <v>15</v>
      </c>
      <c r="E4" s="2">
        <f t="shared" si="1"/>
        <v>16</v>
      </c>
      <c r="F4" s="2">
        <f t="shared" si="2"/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763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5</v>
      </c>
      <c r="AG4" s="2" t="s">
        <v>5</v>
      </c>
      <c r="AH4" s="2" t="s">
        <v>5</v>
      </c>
      <c r="AI4" s="2" t="s">
        <v>5</v>
      </c>
      <c r="AJ4" s="2" t="s">
        <v>5</v>
      </c>
      <c r="AK4" s="2" t="s">
        <v>5</v>
      </c>
      <c r="AL4" s="8" t="s">
        <v>5</v>
      </c>
      <c r="AM4" s="8"/>
      <c r="AN4" s="8"/>
      <c r="AO4" s="8"/>
      <c r="AP4" s="8"/>
      <c r="AQ4" s="8"/>
    </row>
    <row r="5" spans="1:43">
      <c r="A5" s="2" t="s">
        <v>8</v>
      </c>
      <c r="B5" s="7" t="s">
        <v>201</v>
      </c>
      <c r="C5" s="2" t="s">
        <v>9</v>
      </c>
      <c r="D5" s="2">
        <f t="shared" si="0"/>
        <v>14</v>
      </c>
      <c r="E5" s="2">
        <f t="shared" si="1"/>
        <v>17</v>
      </c>
      <c r="F5" s="2">
        <f t="shared" si="2"/>
        <v>0</v>
      </c>
      <c r="G5" s="2">
        <v>707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T5" s="2" t="s">
        <v>5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8"/>
      <c r="AM5" s="8"/>
      <c r="AN5" s="8"/>
      <c r="AO5" s="8"/>
      <c r="AP5" s="8"/>
      <c r="AQ5" s="8"/>
    </row>
    <row r="6" spans="1:43">
      <c r="A6" s="2" t="s">
        <v>10</v>
      </c>
      <c r="B6" s="7" t="s">
        <v>201</v>
      </c>
      <c r="C6" s="2" t="s">
        <v>9</v>
      </c>
      <c r="D6" s="2">
        <f t="shared" si="0"/>
        <v>14</v>
      </c>
      <c r="E6" s="2">
        <f t="shared" si="1"/>
        <v>17</v>
      </c>
      <c r="F6" s="2">
        <f t="shared" si="2"/>
        <v>0</v>
      </c>
      <c r="G6" s="2"/>
      <c r="H6" s="2"/>
      <c r="I6" s="2">
        <v>721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8"/>
      <c r="AM6" s="8"/>
      <c r="AN6" s="8"/>
      <c r="AO6" s="8"/>
      <c r="AP6" s="8"/>
      <c r="AQ6" s="8"/>
    </row>
    <row r="7" spans="1:43">
      <c r="A7" s="2" t="s">
        <v>180</v>
      </c>
      <c r="B7" s="7" t="s">
        <v>201</v>
      </c>
      <c r="C7" s="2" t="s">
        <v>181</v>
      </c>
      <c r="D7" s="2">
        <f t="shared" si="0"/>
        <v>14</v>
      </c>
      <c r="E7" s="2">
        <f t="shared" si="1"/>
        <v>17</v>
      </c>
      <c r="F7" s="2">
        <f t="shared" si="2"/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757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5</v>
      </c>
      <c r="AH7" s="2" t="s">
        <v>5</v>
      </c>
      <c r="AI7" s="2"/>
      <c r="AJ7" s="2"/>
      <c r="AK7" s="2"/>
      <c r="AL7" s="8"/>
      <c r="AM7" s="8"/>
      <c r="AN7" s="8"/>
      <c r="AO7" s="8"/>
      <c r="AP7" s="8"/>
      <c r="AQ7" s="8"/>
    </row>
    <row r="8" spans="1:43">
      <c r="A8" s="2" t="s">
        <v>11</v>
      </c>
      <c r="B8" s="3" t="s">
        <v>202</v>
      </c>
      <c r="C8" s="2" t="s">
        <v>12</v>
      </c>
      <c r="D8" s="2">
        <f t="shared" si="0"/>
        <v>16</v>
      </c>
      <c r="E8" s="2">
        <f t="shared" si="1"/>
        <v>15</v>
      </c>
      <c r="F8" s="2">
        <f t="shared" si="2"/>
        <v>4</v>
      </c>
      <c r="G8" s="2">
        <v>706</v>
      </c>
      <c r="H8" s="2" t="s">
        <v>5</v>
      </c>
      <c r="I8" s="2" t="s">
        <v>5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>
        <v>796</v>
      </c>
      <c r="AF8" s="2" t="s">
        <v>5</v>
      </c>
      <c r="AG8" s="2" t="s">
        <v>5</v>
      </c>
      <c r="AH8" s="2" t="s">
        <v>5</v>
      </c>
      <c r="AI8" s="2" t="s">
        <v>5</v>
      </c>
      <c r="AJ8" s="2" t="s">
        <v>5</v>
      </c>
      <c r="AK8" s="2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/>
      <c r="AQ8" s="8"/>
    </row>
    <row r="9" spans="1:43">
      <c r="A9" s="2" t="s">
        <v>17</v>
      </c>
      <c r="B9" s="3" t="s">
        <v>202</v>
      </c>
      <c r="C9" s="2" t="s">
        <v>18</v>
      </c>
      <c r="D9" s="2">
        <f t="shared" si="0"/>
        <v>16</v>
      </c>
      <c r="E9" s="2">
        <f t="shared" si="1"/>
        <v>15</v>
      </c>
      <c r="F9" s="2">
        <f t="shared" si="2"/>
        <v>0</v>
      </c>
      <c r="G9" s="2"/>
      <c r="H9" s="2"/>
      <c r="I9" s="2"/>
      <c r="J9" s="2"/>
      <c r="K9" s="2"/>
      <c r="L9" s="2"/>
      <c r="M9" s="2">
        <v>741</v>
      </c>
      <c r="N9" s="2" t="s">
        <v>5</v>
      </c>
      <c r="O9" s="2" t="s">
        <v>5</v>
      </c>
      <c r="P9" s="2" t="s">
        <v>5</v>
      </c>
      <c r="Q9" s="2" t="s">
        <v>5</v>
      </c>
      <c r="R9" s="2" t="s">
        <v>5</v>
      </c>
      <c r="S9" s="2" t="s">
        <v>5</v>
      </c>
      <c r="T9" s="2" t="s">
        <v>5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/>
      <c r="AD9" s="2"/>
      <c r="AE9" s="2"/>
      <c r="AF9" s="2"/>
      <c r="AG9" s="2"/>
      <c r="AH9" s="2"/>
      <c r="AI9" s="2"/>
      <c r="AJ9" s="2"/>
      <c r="AK9" s="2"/>
      <c r="AL9" s="8"/>
      <c r="AM9" s="8"/>
      <c r="AN9" s="8"/>
      <c r="AO9" s="8"/>
      <c r="AP9" s="8"/>
      <c r="AQ9" s="8"/>
    </row>
    <row r="10" spans="1:43">
      <c r="A10" s="2" t="s">
        <v>19</v>
      </c>
      <c r="B10" s="3" t="s">
        <v>202</v>
      </c>
      <c r="C10" s="2" t="s">
        <v>20</v>
      </c>
      <c r="D10" s="2">
        <f t="shared" si="0"/>
        <v>16</v>
      </c>
      <c r="E10" s="2">
        <f t="shared" si="1"/>
        <v>15</v>
      </c>
      <c r="F10" s="2">
        <f t="shared" si="2"/>
        <v>1</v>
      </c>
      <c r="G10" s="2" t="s">
        <v>5</v>
      </c>
      <c r="H10" s="2" t="s">
        <v>5</v>
      </c>
      <c r="I10" s="2" t="s">
        <v>5</v>
      </c>
      <c r="J10" s="2" t="s">
        <v>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780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5</v>
      </c>
      <c r="AF10" s="2" t="s">
        <v>5</v>
      </c>
      <c r="AG10" s="2" t="s">
        <v>5</v>
      </c>
      <c r="AH10" s="2" t="s">
        <v>5</v>
      </c>
      <c r="AI10" s="2" t="s">
        <v>5</v>
      </c>
      <c r="AJ10" s="2" t="s">
        <v>5</v>
      </c>
      <c r="AK10" s="2" t="s">
        <v>5</v>
      </c>
      <c r="AL10" s="8" t="s">
        <v>5</v>
      </c>
      <c r="AM10" s="8"/>
      <c r="AN10" s="8"/>
      <c r="AO10" s="8"/>
      <c r="AP10" s="8"/>
      <c r="AQ10" s="8"/>
    </row>
    <row r="11" spans="1:43">
      <c r="A11" s="2" t="s">
        <v>23</v>
      </c>
      <c r="B11" s="3" t="s">
        <v>202</v>
      </c>
      <c r="C11" s="2" t="s">
        <v>24</v>
      </c>
      <c r="D11" s="2">
        <f t="shared" si="0"/>
        <v>16</v>
      </c>
      <c r="E11" s="2">
        <f t="shared" si="1"/>
        <v>15</v>
      </c>
      <c r="F11" s="2">
        <f t="shared" si="2"/>
        <v>0</v>
      </c>
      <c r="G11" s="2"/>
      <c r="H11" s="2">
        <v>716</v>
      </c>
      <c r="I11" s="2" t="s">
        <v>5</v>
      </c>
      <c r="J11" s="2" t="s">
        <v>5</v>
      </c>
      <c r="K11" s="2" t="s">
        <v>5</v>
      </c>
      <c r="L11" s="2" t="s">
        <v>5</v>
      </c>
      <c r="M11" s="2" t="s">
        <v>5</v>
      </c>
      <c r="N11" s="2" t="s">
        <v>5</v>
      </c>
      <c r="O11" s="2" t="s">
        <v>5</v>
      </c>
      <c r="P11" s="2" t="s">
        <v>5</v>
      </c>
      <c r="Q11" s="2" t="s">
        <v>5</v>
      </c>
      <c r="R11" s="2" t="s">
        <v>5</v>
      </c>
      <c r="S11" s="2" t="s">
        <v>5</v>
      </c>
      <c r="T11" s="2" t="s">
        <v>5</v>
      </c>
      <c r="U11" s="2" t="s">
        <v>5</v>
      </c>
      <c r="V11" s="2" t="s">
        <v>5</v>
      </c>
      <c r="W11" s="2" t="s">
        <v>5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8"/>
      <c r="AM11" s="8"/>
      <c r="AN11" s="8"/>
      <c r="AO11" s="8"/>
      <c r="AP11" s="8"/>
      <c r="AQ11" s="8"/>
    </row>
    <row r="12" spans="1:43">
      <c r="A12" s="2" t="s">
        <v>25</v>
      </c>
      <c r="B12" s="3" t="s">
        <v>202</v>
      </c>
      <c r="C12" s="2" t="s">
        <v>26</v>
      </c>
      <c r="D12" s="2">
        <f t="shared" si="0"/>
        <v>16</v>
      </c>
      <c r="E12" s="2">
        <f t="shared" si="1"/>
        <v>15</v>
      </c>
      <c r="F12" s="2">
        <f t="shared" si="2"/>
        <v>0</v>
      </c>
      <c r="G12" s="2"/>
      <c r="H12" s="2"/>
      <c r="I12" s="2"/>
      <c r="J12" s="2"/>
      <c r="K12" s="2">
        <v>734</v>
      </c>
      <c r="L12" s="2" t="s">
        <v>5</v>
      </c>
      <c r="M12" s="2" t="s">
        <v>5</v>
      </c>
      <c r="N12" s="2" t="s">
        <v>5</v>
      </c>
      <c r="O12" s="2" t="s">
        <v>5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 t="s">
        <v>5</v>
      </c>
      <c r="Y12" s="2" t="s">
        <v>5</v>
      </c>
      <c r="Z12" s="2" t="s">
        <v>5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8"/>
      <c r="AM12" s="8"/>
      <c r="AN12" s="8"/>
      <c r="AO12" s="8"/>
      <c r="AP12" s="8"/>
      <c r="AQ12" s="8"/>
    </row>
    <row r="13" spans="1:43">
      <c r="A13" s="2" t="s">
        <v>33</v>
      </c>
      <c r="B13" s="3" t="s">
        <v>202</v>
      </c>
      <c r="C13" s="2" t="s">
        <v>34</v>
      </c>
      <c r="D13" s="2">
        <f t="shared" si="0"/>
        <v>16</v>
      </c>
      <c r="E13" s="2">
        <f t="shared" si="1"/>
        <v>15</v>
      </c>
      <c r="F13" s="2">
        <f t="shared" si="2"/>
        <v>0</v>
      </c>
      <c r="G13" s="2"/>
      <c r="H13" s="2"/>
      <c r="I13" s="2"/>
      <c r="J13" s="2">
        <v>725</v>
      </c>
      <c r="K13" s="2" t="s">
        <v>5</v>
      </c>
      <c r="L13" s="2" t="s">
        <v>5</v>
      </c>
      <c r="M13" s="2" t="s">
        <v>5</v>
      </c>
      <c r="N13" s="2" t="s">
        <v>5</v>
      </c>
      <c r="O13" s="2" t="s">
        <v>5</v>
      </c>
      <c r="P13" s="2" t="s">
        <v>5</v>
      </c>
      <c r="Q13" s="2" t="s">
        <v>5</v>
      </c>
      <c r="R13" s="2" t="s">
        <v>5</v>
      </c>
      <c r="S13" s="2" t="s">
        <v>5</v>
      </c>
      <c r="T13" s="2">
        <v>753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8"/>
      <c r="AM13" s="8"/>
      <c r="AN13" s="8"/>
      <c r="AO13" s="8"/>
      <c r="AP13" s="8"/>
      <c r="AQ13" s="8"/>
    </row>
    <row r="14" spans="1:43">
      <c r="A14" s="2" t="s">
        <v>39</v>
      </c>
      <c r="B14" s="3" t="s">
        <v>202</v>
      </c>
      <c r="C14" s="2" t="s">
        <v>40</v>
      </c>
      <c r="D14" s="2">
        <f t="shared" si="0"/>
        <v>16</v>
      </c>
      <c r="E14" s="2">
        <f t="shared" si="1"/>
        <v>15</v>
      </c>
      <c r="F14" s="2">
        <f t="shared" si="2"/>
        <v>0</v>
      </c>
      <c r="G14" s="2" t="s">
        <v>5</v>
      </c>
      <c r="H14" s="2" t="s">
        <v>5</v>
      </c>
      <c r="I14" s="2" t="s">
        <v>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>
        <v>769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</v>
      </c>
      <c r="AF14" s="2" t="s">
        <v>5</v>
      </c>
      <c r="AG14" s="2" t="s">
        <v>5</v>
      </c>
      <c r="AH14" s="2" t="s">
        <v>5</v>
      </c>
      <c r="AI14" s="2" t="s">
        <v>5</v>
      </c>
      <c r="AJ14" s="2" t="s">
        <v>5</v>
      </c>
      <c r="AK14" s="2"/>
      <c r="AL14" s="8"/>
      <c r="AM14" s="8"/>
      <c r="AN14" s="8"/>
      <c r="AO14" s="8"/>
      <c r="AP14" s="8"/>
      <c r="AQ14" s="8"/>
    </row>
    <row r="15" spans="1:43">
      <c r="A15" s="2" t="s">
        <v>47</v>
      </c>
      <c r="B15" s="3" t="s">
        <v>202</v>
      </c>
      <c r="C15" s="2" t="s">
        <v>48</v>
      </c>
      <c r="D15" s="2">
        <f t="shared" si="0"/>
        <v>16</v>
      </c>
      <c r="E15" s="2">
        <f t="shared" si="1"/>
        <v>15</v>
      </c>
      <c r="F15" s="2">
        <f t="shared" si="2"/>
        <v>1</v>
      </c>
      <c r="G15" s="2" t="s">
        <v>5</v>
      </c>
      <c r="H15" s="2" t="s">
        <v>5</v>
      </c>
      <c r="I15" s="2" t="s">
        <v>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775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</v>
      </c>
      <c r="AF15" s="2" t="s">
        <v>5</v>
      </c>
      <c r="AG15" s="2" t="s">
        <v>5</v>
      </c>
      <c r="AH15" s="2" t="s">
        <v>5</v>
      </c>
      <c r="AI15" s="2" t="s">
        <v>5</v>
      </c>
      <c r="AJ15" s="2" t="s">
        <v>5</v>
      </c>
      <c r="AK15" s="2" t="s">
        <v>5</v>
      </c>
      <c r="AL15" s="8" t="s">
        <v>5</v>
      </c>
      <c r="AM15" s="8"/>
      <c r="AN15" s="8"/>
      <c r="AO15" s="8"/>
      <c r="AP15" s="8"/>
      <c r="AQ15" s="8"/>
    </row>
    <row r="16" spans="1:43">
      <c r="A16" s="2" t="s">
        <v>49</v>
      </c>
      <c r="B16" s="3" t="s">
        <v>202</v>
      </c>
      <c r="C16" s="2" t="s">
        <v>50</v>
      </c>
      <c r="D16" s="2">
        <f t="shared" si="0"/>
        <v>16</v>
      </c>
      <c r="E16" s="2">
        <f t="shared" si="1"/>
        <v>15</v>
      </c>
      <c r="F16" s="2">
        <f t="shared" si="2"/>
        <v>5</v>
      </c>
      <c r="G16" s="2"/>
      <c r="H16" s="2"/>
      <c r="I16" s="2"/>
      <c r="J16" s="2">
        <v>728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5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v>802</v>
      </c>
      <c r="AJ16" s="2" t="s">
        <v>5</v>
      </c>
      <c r="AK16" s="2" t="s">
        <v>5</v>
      </c>
      <c r="AL16" s="8" t="s">
        <v>5</v>
      </c>
      <c r="AM16" s="8" t="s">
        <v>5</v>
      </c>
      <c r="AN16" s="8" t="s">
        <v>5</v>
      </c>
      <c r="AO16" s="8" t="s">
        <v>5</v>
      </c>
      <c r="AP16" s="8" t="s">
        <v>5</v>
      </c>
      <c r="AQ16" s="8"/>
    </row>
    <row r="17" spans="1:43">
      <c r="A17" s="2" t="s">
        <v>51</v>
      </c>
      <c r="B17" s="3" t="s">
        <v>202</v>
      </c>
      <c r="C17" s="2" t="s">
        <v>52</v>
      </c>
      <c r="D17" s="2">
        <f t="shared" si="0"/>
        <v>16</v>
      </c>
      <c r="E17" s="2">
        <f t="shared" si="1"/>
        <v>15</v>
      </c>
      <c r="F17" s="2">
        <f t="shared" si="2"/>
        <v>1</v>
      </c>
      <c r="G17" s="2" t="s">
        <v>5</v>
      </c>
      <c r="H17" s="2" t="s">
        <v>5</v>
      </c>
      <c r="I17" s="2" t="s">
        <v>5</v>
      </c>
      <c r="J17" s="2" t="s">
        <v>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781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</v>
      </c>
      <c r="AH17" s="2" t="s">
        <v>5</v>
      </c>
      <c r="AI17" s="2" t="s">
        <v>5</v>
      </c>
      <c r="AJ17" s="2" t="s">
        <v>5</v>
      </c>
      <c r="AK17" s="2" t="s">
        <v>5</v>
      </c>
      <c r="AL17" s="8" t="s">
        <v>5</v>
      </c>
      <c r="AM17" s="8"/>
      <c r="AN17" s="8"/>
      <c r="AO17" s="8"/>
      <c r="AP17" s="8"/>
      <c r="AQ17" s="8"/>
    </row>
    <row r="18" spans="1:43">
      <c r="A18" s="2" t="s">
        <v>59</v>
      </c>
      <c r="B18" s="3" t="s">
        <v>202</v>
      </c>
      <c r="C18" s="2" t="s">
        <v>60</v>
      </c>
      <c r="D18" s="2">
        <f t="shared" si="0"/>
        <v>16</v>
      </c>
      <c r="E18" s="2">
        <f t="shared" si="1"/>
        <v>15</v>
      </c>
      <c r="F18" s="2">
        <f t="shared" si="2"/>
        <v>0</v>
      </c>
      <c r="G18" s="2"/>
      <c r="H18" s="2">
        <v>715</v>
      </c>
      <c r="I18" s="2" t="s">
        <v>5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5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8"/>
      <c r="AM18" s="8"/>
      <c r="AN18" s="8"/>
      <c r="AO18" s="8"/>
      <c r="AP18" s="8"/>
      <c r="AQ18" s="8"/>
    </row>
    <row r="19" spans="1:43">
      <c r="A19" s="2" t="s">
        <v>63</v>
      </c>
      <c r="B19" s="3" t="s">
        <v>202</v>
      </c>
      <c r="C19" s="2" t="s">
        <v>64</v>
      </c>
      <c r="D19" s="2">
        <f t="shared" si="0"/>
        <v>16</v>
      </c>
      <c r="E19" s="2">
        <f t="shared" si="1"/>
        <v>15</v>
      </c>
      <c r="F19" s="2">
        <f t="shared" si="2"/>
        <v>0</v>
      </c>
      <c r="G19" s="2"/>
      <c r="H19" s="2"/>
      <c r="I19" s="2">
        <v>722</v>
      </c>
      <c r="J19" s="2" t="s">
        <v>5</v>
      </c>
      <c r="K19" s="2" t="s">
        <v>5</v>
      </c>
      <c r="L19" s="2" t="s">
        <v>5</v>
      </c>
      <c r="M19" s="2" t="s">
        <v>5</v>
      </c>
      <c r="N19" s="2" t="s">
        <v>5</v>
      </c>
      <c r="O19" s="2" t="s">
        <v>5</v>
      </c>
      <c r="P19" s="2" t="s">
        <v>5</v>
      </c>
      <c r="Q19" s="2" t="s">
        <v>5</v>
      </c>
      <c r="R19" s="2" t="s">
        <v>5</v>
      </c>
      <c r="S19" s="2" t="s">
        <v>5</v>
      </c>
      <c r="T19" s="2" t="s">
        <v>5</v>
      </c>
      <c r="U19" s="2" t="s">
        <v>5</v>
      </c>
      <c r="V19" s="2" t="s">
        <v>5</v>
      </c>
      <c r="W19" s="2" t="s">
        <v>5</v>
      </c>
      <c r="X19" s="2" t="s">
        <v>5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8"/>
      <c r="AM19" s="8"/>
      <c r="AN19" s="8"/>
      <c r="AO19" s="8"/>
      <c r="AP19" s="8"/>
      <c r="AQ19" s="8"/>
    </row>
    <row r="20" spans="1:43">
      <c r="A20" s="2" t="s">
        <v>66</v>
      </c>
      <c r="B20" s="3" t="s">
        <v>202</v>
      </c>
      <c r="C20" s="2" t="s">
        <v>67</v>
      </c>
      <c r="D20" s="2">
        <f t="shared" si="0"/>
        <v>16</v>
      </c>
      <c r="E20" s="2">
        <f t="shared" si="1"/>
        <v>15</v>
      </c>
      <c r="F20" s="2">
        <f t="shared" si="2"/>
        <v>0</v>
      </c>
      <c r="G20" s="2"/>
      <c r="H20" s="2"/>
      <c r="I20" s="2"/>
      <c r="J20" s="2"/>
      <c r="K20" s="2">
        <v>731</v>
      </c>
      <c r="L20" s="2" t="s">
        <v>5</v>
      </c>
      <c r="M20" s="2" t="s">
        <v>5</v>
      </c>
      <c r="N20" s="2" t="s">
        <v>5</v>
      </c>
      <c r="O20" s="2" t="s">
        <v>5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 t="s">
        <v>5</v>
      </c>
      <c r="Y20" s="2" t="s">
        <v>5</v>
      </c>
      <c r="Z20" s="2" t="s">
        <v>5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8"/>
      <c r="AM20" s="8"/>
      <c r="AN20" s="8"/>
      <c r="AO20" s="8"/>
      <c r="AP20" s="8"/>
      <c r="AQ20" s="8"/>
    </row>
    <row r="21" spans="1:43">
      <c r="A21" s="2" t="s">
        <v>70</v>
      </c>
      <c r="B21" s="3" t="s">
        <v>202</v>
      </c>
      <c r="C21" s="2" t="s">
        <v>71</v>
      </c>
      <c r="D21" s="2">
        <f t="shared" si="0"/>
        <v>16</v>
      </c>
      <c r="E21" s="2">
        <f t="shared" si="1"/>
        <v>15</v>
      </c>
      <c r="F21" s="2">
        <f t="shared" si="2"/>
        <v>0</v>
      </c>
      <c r="G21" s="2" t="s">
        <v>5</v>
      </c>
      <c r="H21" s="2" t="s">
        <v>5</v>
      </c>
      <c r="I21" s="2" t="s">
        <v>5</v>
      </c>
      <c r="J21" s="2" t="s">
        <v>5</v>
      </c>
      <c r="K21" s="2"/>
      <c r="L21" s="2"/>
      <c r="M21" s="2"/>
      <c r="N21" s="2"/>
      <c r="O21" s="2"/>
      <c r="P21" s="2"/>
      <c r="Q21" s="2"/>
      <c r="R21" s="2">
        <v>748</v>
      </c>
      <c r="S21" s="2" t="s">
        <v>5</v>
      </c>
      <c r="T21" s="2" t="s">
        <v>5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/>
      <c r="AE21" s="2"/>
      <c r="AF21" s="2"/>
      <c r="AG21" s="2"/>
      <c r="AH21" s="2"/>
      <c r="AI21" s="2"/>
      <c r="AJ21" s="2"/>
      <c r="AK21" s="2"/>
      <c r="AL21" s="8"/>
      <c r="AM21" s="8"/>
      <c r="AN21" s="8"/>
      <c r="AO21" s="8"/>
      <c r="AP21" s="8"/>
      <c r="AQ21" s="8"/>
    </row>
    <row r="22" spans="1:43">
      <c r="A22" s="2" t="s">
        <v>72</v>
      </c>
      <c r="B22" s="3" t="s">
        <v>202</v>
      </c>
      <c r="C22" s="2" t="s">
        <v>73</v>
      </c>
      <c r="D22" s="2">
        <f t="shared" si="0"/>
        <v>16</v>
      </c>
      <c r="E22" s="2">
        <f t="shared" si="1"/>
        <v>15</v>
      </c>
      <c r="F22" s="2">
        <f t="shared" si="2"/>
        <v>6</v>
      </c>
      <c r="G22" s="2"/>
      <c r="H22" s="2"/>
      <c r="I22" s="2"/>
      <c r="J22" s="2"/>
      <c r="K22" s="2"/>
      <c r="L22" s="2">
        <v>736</v>
      </c>
      <c r="M22" s="2" t="s">
        <v>5</v>
      </c>
      <c r="N22" s="2" t="s">
        <v>5</v>
      </c>
      <c r="O22" s="2" t="s">
        <v>5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>
        <v>795</v>
      </c>
      <c r="AF22" s="2" t="s">
        <v>5</v>
      </c>
      <c r="AG22" s="2" t="s">
        <v>5</v>
      </c>
      <c r="AH22" s="2" t="s">
        <v>5</v>
      </c>
      <c r="AI22" s="2" t="s">
        <v>5</v>
      </c>
      <c r="AJ22" s="2" t="s">
        <v>5</v>
      </c>
      <c r="AK22" s="2" t="s">
        <v>5</v>
      </c>
      <c r="AL22" s="8" t="s">
        <v>5</v>
      </c>
      <c r="AM22" s="8" t="s">
        <v>5</v>
      </c>
      <c r="AN22" s="8" t="s">
        <v>5</v>
      </c>
      <c r="AO22" s="8" t="s">
        <v>5</v>
      </c>
      <c r="AP22" s="8" t="s">
        <v>5</v>
      </c>
      <c r="AQ22" s="8" t="s">
        <v>5</v>
      </c>
    </row>
    <row r="23" spans="1:43">
      <c r="A23" s="2" t="s">
        <v>74</v>
      </c>
      <c r="B23" s="3" t="s">
        <v>202</v>
      </c>
      <c r="C23" s="2" t="s">
        <v>75</v>
      </c>
      <c r="D23" s="2">
        <f t="shared" si="0"/>
        <v>16</v>
      </c>
      <c r="E23" s="2">
        <f t="shared" si="1"/>
        <v>15</v>
      </c>
      <c r="F23" s="2">
        <f t="shared" si="2"/>
        <v>0</v>
      </c>
      <c r="G23" s="2" t="s">
        <v>5</v>
      </c>
      <c r="H23" s="2" t="s">
        <v>5</v>
      </c>
      <c r="I23" s="2" t="s">
        <v>5</v>
      </c>
      <c r="J23" s="2" t="s">
        <v>5</v>
      </c>
      <c r="K23" s="2"/>
      <c r="L23" s="2"/>
      <c r="M23" s="2"/>
      <c r="N23" s="2"/>
      <c r="O23" s="2"/>
      <c r="P23" s="2"/>
      <c r="Q23" s="2"/>
      <c r="R23" s="2"/>
      <c r="S23" s="2"/>
      <c r="T23" s="2">
        <v>754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/>
      <c r="AG23" s="2"/>
      <c r="AH23" s="2"/>
      <c r="AI23" s="2"/>
      <c r="AJ23" s="2"/>
      <c r="AK23" s="2"/>
      <c r="AL23" s="8"/>
      <c r="AM23" s="8"/>
      <c r="AN23" s="8"/>
      <c r="AO23" s="8"/>
      <c r="AP23" s="8"/>
      <c r="AQ23" s="8"/>
    </row>
    <row r="24" spans="1:43">
      <c r="A24" s="2" t="s">
        <v>76</v>
      </c>
      <c r="B24" s="3" t="s">
        <v>202</v>
      </c>
      <c r="C24" s="2" t="s">
        <v>77</v>
      </c>
      <c r="D24" s="2">
        <f t="shared" si="0"/>
        <v>16</v>
      </c>
      <c r="E24" s="2">
        <f t="shared" si="1"/>
        <v>15</v>
      </c>
      <c r="F24" s="2">
        <f t="shared" si="2"/>
        <v>3</v>
      </c>
      <c r="G24" s="2" t="s">
        <v>5</v>
      </c>
      <c r="H24" s="2" t="s">
        <v>5</v>
      </c>
      <c r="I24" s="2" t="s">
        <v>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777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5</v>
      </c>
      <c r="AF24" s="2" t="s">
        <v>5</v>
      </c>
      <c r="AG24" s="2" t="s">
        <v>5</v>
      </c>
      <c r="AH24" s="2" t="s">
        <v>5</v>
      </c>
      <c r="AI24" s="2" t="s">
        <v>5</v>
      </c>
      <c r="AJ24" s="2" t="s">
        <v>5</v>
      </c>
      <c r="AK24" s="2" t="s">
        <v>5</v>
      </c>
      <c r="AL24" s="8" t="s">
        <v>5</v>
      </c>
      <c r="AM24" s="8" t="s">
        <v>5</v>
      </c>
      <c r="AN24" s="8" t="s">
        <v>5</v>
      </c>
      <c r="AO24" s="8"/>
      <c r="AP24" s="8"/>
      <c r="AQ24" s="8"/>
    </row>
    <row r="25" spans="1:43">
      <c r="A25" s="2" t="s">
        <v>82</v>
      </c>
      <c r="B25" s="3" t="s">
        <v>202</v>
      </c>
      <c r="C25" s="2" t="s">
        <v>83</v>
      </c>
      <c r="D25" s="2">
        <f t="shared" si="0"/>
        <v>16</v>
      </c>
      <c r="E25" s="2">
        <f t="shared" si="1"/>
        <v>15</v>
      </c>
      <c r="F25" s="2">
        <f t="shared" si="2"/>
        <v>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v>747</v>
      </c>
      <c r="R25" s="2" t="s">
        <v>5</v>
      </c>
      <c r="S25" s="2" t="s">
        <v>5</v>
      </c>
      <c r="T25" s="2" t="s">
        <v>5</v>
      </c>
      <c r="U25" s="2" t="s">
        <v>5</v>
      </c>
      <c r="V25" s="2" t="s">
        <v>5</v>
      </c>
      <c r="W25" s="2" t="s">
        <v>5</v>
      </c>
      <c r="X25" s="2" t="s">
        <v>5</v>
      </c>
      <c r="Y25" s="2"/>
      <c r="Z25" s="2"/>
      <c r="AA25" s="2"/>
      <c r="AB25" s="2"/>
      <c r="AC25" s="2"/>
      <c r="AD25" s="2" t="s">
        <v>5</v>
      </c>
      <c r="AE25" s="2">
        <v>794</v>
      </c>
      <c r="AF25" s="2" t="s">
        <v>5</v>
      </c>
      <c r="AG25" s="2" t="s">
        <v>5</v>
      </c>
      <c r="AH25" s="2" t="s">
        <v>5</v>
      </c>
      <c r="AI25" s="2" t="s">
        <v>5</v>
      </c>
      <c r="AJ25" s="2" t="s">
        <v>5</v>
      </c>
      <c r="AK25" s="2" t="s">
        <v>5</v>
      </c>
      <c r="AL25" s="8" t="s">
        <v>5</v>
      </c>
      <c r="AM25" s="8" t="s">
        <v>5</v>
      </c>
      <c r="AN25" s="8" t="s">
        <v>5</v>
      </c>
      <c r="AO25" s="8" t="s">
        <v>5</v>
      </c>
      <c r="AP25" s="8" t="s">
        <v>5</v>
      </c>
      <c r="AQ25" s="8"/>
    </row>
    <row r="26" spans="1:43">
      <c r="A26" s="2" t="s">
        <v>87</v>
      </c>
      <c r="B26" s="3" t="s">
        <v>202</v>
      </c>
      <c r="C26" s="2" t="s">
        <v>88</v>
      </c>
      <c r="D26" s="2">
        <f t="shared" si="0"/>
        <v>16</v>
      </c>
      <c r="E26" s="2">
        <f t="shared" si="1"/>
        <v>15</v>
      </c>
      <c r="F26" s="2">
        <f t="shared" si="2"/>
        <v>1</v>
      </c>
      <c r="G26" s="2" t="s">
        <v>5</v>
      </c>
      <c r="H26" s="2" t="s">
        <v>5</v>
      </c>
      <c r="I26" s="2" t="s">
        <v>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774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5</v>
      </c>
      <c r="AF26" s="2" t="s">
        <v>5</v>
      </c>
      <c r="AG26" s="2" t="s">
        <v>5</v>
      </c>
      <c r="AH26" s="2" t="s">
        <v>5</v>
      </c>
      <c r="AI26" s="2" t="s">
        <v>5</v>
      </c>
      <c r="AJ26" s="2" t="s">
        <v>5</v>
      </c>
      <c r="AK26" s="2" t="s">
        <v>5</v>
      </c>
      <c r="AL26" s="8" t="s">
        <v>5</v>
      </c>
      <c r="AM26" s="8"/>
      <c r="AN26" s="8"/>
      <c r="AO26" s="8"/>
      <c r="AP26" s="8"/>
      <c r="AQ26" s="8"/>
    </row>
    <row r="27" spans="1:43">
      <c r="A27" s="2" t="s">
        <v>91</v>
      </c>
      <c r="B27" s="3" t="s">
        <v>202</v>
      </c>
      <c r="C27" s="2" t="s">
        <v>92</v>
      </c>
      <c r="D27" s="2">
        <f t="shared" si="0"/>
        <v>16</v>
      </c>
      <c r="E27" s="2">
        <f t="shared" si="1"/>
        <v>15</v>
      </c>
      <c r="F27" s="2">
        <f t="shared" si="2"/>
        <v>0</v>
      </c>
      <c r="G27" s="2"/>
      <c r="H27" s="2"/>
      <c r="I27" s="2"/>
      <c r="J27" s="2"/>
      <c r="K27" s="2">
        <v>733</v>
      </c>
      <c r="L27" s="2" t="s">
        <v>5</v>
      </c>
      <c r="M27" s="2" t="s">
        <v>5</v>
      </c>
      <c r="N27" s="2" t="s">
        <v>5</v>
      </c>
      <c r="O27" s="2" t="s">
        <v>5</v>
      </c>
      <c r="P27" s="2" t="s">
        <v>5</v>
      </c>
      <c r="Q27" s="2" t="s">
        <v>5</v>
      </c>
      <c r="R27" s="2" t="s">
        <v>5</v>
      </c>
      <c r="S27" s="2" t="s">
        <v>5</v>
      </c>
      <c r="T27" s="2" t="s">
        <v>5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8"/>
      <c r="AM27" s="8"/>
      <c r="AN27" s="8"/>
      <c r="AO27" s="8"/>
      <c r="AP27" s="8"/>
      <c r="AQ27" s="8"/>
    </row>
    <row r="28" spans="1:43">
      <c r="A28" s="2" t="s">
        <v>95</v>
      </c>
      <c r="B28" s="3" t="s">
        <v>202</v>
      </c>
      <c r="C28" s="2" t="s">
        <v>96</v>
      </c>
      <c r="D28" s="2">
        <f t="shared" si="0"/>
        <v>16</v>
      </c>
      <c r="E28" s="2">
        <f t="shared" si="1"/>
        <v>15</v>
      </c>
      <c r="F28" s="2">
        <f t="shared" si="2"/>
        <v>0</v>
      </c>
      <c r="G28" s="2">
        <v>702</v>
      </c>
      <c r="H28" s="2" t="s">
        <v>5</v>
      </c>
      <c r="I28" s="2" t="s">
        <v>5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5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8"/>
      <c r="AM28" s="8"/>
      <c r="AN28" s="8"/>
      <c r="AO28" s="8"/>
      <c r="AP28" s="8"/>
      <c r="AQ28" s="8"/>
    </row>
    <row r="29" spans="1:43">
      <c r="A29" s="2" t="s">
        <v>101</v>
      </c>
      <c r="B29" s="3" t="s">
        <v>202</v>
      </c>
      <c r="C29" s="2" t="s">
        <v>102</v>
      </c>
      <c r="D29" s="2">
        <f t="shared" si="0"/>
        <v>16</v>
      </c>
      <c r="E29" s="2">
        <f t="shared" si="1"/>
        <v>15</v>
      </c>
      <c r="F29" s="2">
        <f t="shared" si="2"/>
        <v>1</v>
      </c>
      <c r="G29" s="2"/>
      <c r="H29" s="2"/>
      <c r="I29" s="2">
        <v>700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>
        <v>797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8" t="s">
        <v>5</v>
      </c>
      <c r="AM29" s="8"/>
      <c r="AN29" s="8"/>
      <c r="AO29" s="8"/>
      <c r="AP29" s="8"/>
      <c r="AQ29" s="8"/>
    </row>
    <row r="30" spans="1:43">
      <c r="A30" s="2" t="s">
        <v>112</v>
      </c>
      <c r="B30" s="3" t="s">
        <v>202</v>
      </c>
      <c r="C30" s="2" t="s">
        <v>113</v>
      </c>
      <c r="D30" s="2">
        <f t="shared" si="0"/>
        <v>16</v>
      </c>
      <c r="E30" s="2">
        <f t="shared" si="1"/>
        <v>15</v>
      </c>
      <c r="F30" s="2">
        <f t="shared" si="2"/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>
        <v>756</v>
      </c>
      <c r="V30" s="2" t="s">
        <v>5</v>
      </c>
      <c r="W30" s="2" t="s">
        <v>5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</v>
      </c>
      <c r="AF30" s="2" t="s">
        <v>5</v>
      </c>
      <c r="AG30" s="2" t="s">
        <v>5</v>
      </c>
      <c r="AH30" s="2" t="s">
        <v>5</v>
      </c>
      <c r="AI30" s="2" t="s">
        <v>5</v>
      </c>
      <c r="AJ30" s="2" t="s">
        <v>5</v>
      </c>
      <c r="AK30" s="2"/>
      <c r="AL30" s="8"/>
      <c r="AM30" s="8"/>
      <c r="AN30" s="8"/>
      <c r="AO30" s="8"/>
      <c r="AP30" s="8"/>
      <c r="AQ30" s="8"/>
    </row>
    <row r="31" spans="1:43">
      <c r="A31" s="2" t="s">
        <v>117</v>
      </c>
      <c r="B31" s="3" t="s">
        <v>202</v>
      </c>
      <c r="C31" s="2" t="s">
        <v>118</v>
      </c>
      <c r="D31" s="2">
        <f t="shared" si="0"/>
        <v>16</v>
      </c>
      <c r="E31" s="2">
        <f t="shared" si="1"/>
        <v>15</v>
      </c>
      <c r="F31" s="2">
        <f t="shared" si="2"/>
        <v>0</v>
      </c>
      <c r="G31" s="2"/>
      <c r="H31" s="2"/>
      <c r="I31" s="2"/>
      <c r="J31" s="2">
        <v>729</v>
      </c>
      <c r="K31" s="2" t="s">
        <v>5</v>
      </c>
      <c r="L31" s="2" t="s">
        <v>5</v>
      </c>
      <c r="M31" s="2" t="s">
        <v>5</v>
      </c>
      <c r="N31" s="2" t="s">
        <v>5</v>
      </c>
      <c r="O31" s="2" t="s">
        <v>5</v>
      </c>
      <c r="P31" s="2" t="s">
        <v>5</v>
      </c>
      <c r="Q31" s="2" t="s">
        <v>5</v>
      </c>
      <c r="R31" s="2" t="s">
        <v>5</v>
      </c>
      <c r="S31" s="2" t="s">
        <v>5</v>
      </c>
      <c r="T31" s="2" t="s">
        <v>5</v>
      </c>
      <c r="U31" s="2" t="s">
        <v>5</v>
      </c>
      <c r="V31" s="2" t="s">
        <v>5</v>
      </c>
      <c r="W31" s="2" t="s">
        <v>5</v>
      </c>
      <c r="X31" s="2" t="s">
        <v>5</v>
      </c>
      <c r="Y31" s="2" t="s">
        <v>5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8"/>
      <c r="AM31" s="8"/>
      <c r="AN31" s="8"/>
      <c r="AO31" s="8"/>
      <c r="AP31" s="8"/>
      <c r="AQ31" s="8"/>
    </row>
    <row r="32" spans="1:43">
      <c r="A32" s="2" t="s">
        <v>119</v>
      </c>
      <c r="B32" s="3" t="s">
        <v>202</v>
      </c>
      <c r="C32" s="2" t="s">
        <v>120</v>
      </c>
      <c r="D32" s="2">
        <f t="shared" si="0"/>
        <v>16</v>
      </c>
      <c r="E32" s="2">
        <f t="shared" si="1"/>
        <v>15</v>
      </c>
      <c r="F32" s="2">
        <f t="shared" si="2"/>
        <v>0</v>
      </c>
      <c r="G32" s="2"/>
      <c r="H32" s="2"/>
      <c r="I32" s="2"/>
      <c r="J32" s="2">
        <v>727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5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 t="s">
        <v>5</v>
      </c>
      <c r="Y32" s="2" t="s">
        <v>5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8"/>
      <c r="AM32" s="8"/>
      <c r="AN32" s="8"/>
      <c r="AO32" s="8"/>
      <c r="AP32" s="8"/>
      <c r="AQ32" s="8"/>
    </row>
    <row r="33" spans="1:43">
      <c r="A33" s="2" t="s">
        <v>121</v>
      </c>
      <c r="B33" s="3" t="s">
        <v>202</v>
      </c>
      <c r="C33" s="2" t="s">
        <v>122</v>
      </c>
      <c r="D33" s="2">
        <f t="shared" si="0"/>
        <v>16</v>
      </c>
      <c r="E33" s="2">
        <f t="shared" si="1"/>
        <v>15</v>
      </c>
      <c r="F33" s="2">
        <f t="shared" si="2"/>
        <v>4</v>
      </c>
      <c r="G33" s="2"/>
      <c r="H33" s="2"/>
      <c r="I33" s="2"/>
      <c r="J33" s="2"/>
      <c r="K33" s="2"/>
      <c r="L33" s="2"/>
      <c r="M33" s="2"/>
      <c r="N33" s="2">
        <v>805</v>
      </c>
      <c r="O33" s="2" t="s">
        <v>5</v>
      </c>
      <c r="P33" s="2" t="s">
        <v>5</v>
      </c>
      <c r="Q33" s="2" t="s">
        <v>5</v>
      </c>
      <c r="R33" s="2" t="s">
        <v>5</v>
      </c>
      <c r="S33" s="2"/>
      <c r="T33" s="2"/>
      <c r="U33" s="2"/>
      <c r="V33" s="2"/>
      <c r="W33" s="2"/>
      <c r="X33" s="2"/>
      <c r="Y33" s="2"/>
      <c r="Z33" s="2"/>
      <c r="AA33" s="2" t="s">
        <v>5</v>
      </c>
      <c r="AB33" s="2">
        <v>789</v>
      </c>
      <c r="AC33" s="2" t="s">
        <v>5</v>
      </c>
      <c r="AD33" s="2" t="s">
        <v>5</v>
      </c>
      <c r="AE33" s="2" t="s">
        <v>5</v>
      </c>
      <c r="AF33" s="2" t="s">
        <v>5</v>
      </c>
      <c r="AG33" s="2" t="s">
        <v>5</v>
      </c>
      <c r="AH33" s="2" t="s">
        <v>5</v>
      </c>
      <c r="AI33" s="2" t="s">
        <v>5</v>
      </c>
      <c r="AJ33" s="2" t="s">
        <v>5</v>
      </c>
      <c r="AK33" s="2" t="s">
        <v>5</v>
      </c>
      <c r="AL33" s="8" t="s">
        <v>5</v>
      </c>
      <c r="AM33" s="8" t="s">
        <v>5</v>
      </c>
      <c r="AN33" s="8" t="s">
        <v>5</v>
      </c>
      <c r="AO33" s="8" t="s">
        <v>5</v>
      </c>
      <c r="AP33" s="8"/>
      <c r="AQ33" s="8"/>
    </row>
    <row r="34" spans="1:43">
      <c r="A34" s="2" t="s">
        <v>123</v>
      </c>
      <c r="B34" s="3" t="s">
        <v>202</v>
      </c>
      <c r="C34" s="2" t="s">
        <v>124</v>
      </c>
      <c r="D34" s="2">
        <f t="shared" si="0"/>
        <v>16</v>
      </c>
      <c r="E34" s="2">
        <f t="shared" si="1"/>
        <v>15</v>
      </c>
      <c r="F34" s="2">
        <f t="shared" si="2"/>
        <v>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v>761</v>
      </c>
      <c r="W34" s="2" t="s">
        <v>5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</v>
      </c>
      <c r="AF34" s="2" t="s">
        <v>5</v>
      </c>
      <c r="AG34" s="2" t="s">
        <v>5</v>
      </c>
      <c r="AH34" s="2" t="s">
        <v>5</v>
      </c>
      <c r="AI34" s="2" t="s">
        <v>5</v>
      </c>
      <c r="AJ34" s="2" t="s">
        <v>5</v>
      </c>
      <c r="AK34" s="2" t="s">
        <v>5</v>
      </c>
      <c r="AL34" s="8"/>
      <c r="AM34" s="8"/>
      <c r="AN34" s="8"/>
      <c r="AO34" s="8"/>
      <c r="AP34" s="8"/>
      <c r="AQ34" s="8"/>
    </row>
    <row r="35" spans="1:43">
      <c r="A35" s="2" t="s">
        <v>125</v>
      </c>
      <c r="B35" s="3" t="s">
        <v>202</v>
      </c>
      <c r="C35" s="2" t="s">
        <v>126</v>
      </c>
      <c r="D35" s="2">
        <f t="shared" si="0"/>
        <v>16</v>
      </c>
      <c r="E35" s="2">
        <f t="shared" si="1"/>
        <v>15</v>
      </c>
      <c r="F35" s="2">
        <f t="shared" si="2"/>
        <v>1</v>
      </c>
      <c r="G35" s="2"/>
      <c r="H35" s="2"/>
      <c r="I35" s="2"/>
      <c r="J35" s="2"/>
      <c r="K35" s="2"/>
      <c r="L35" s="2"/>
      <c r="M35" s="2"/>
      <c r="N35" s="2">
        <v>742</v>
      </c>
      <c r="O35" s="2" t="s">
        <v>5</v>
      </c>
      <c r="P35" s="2" t="s">
        <v>5</v>
      </c>
      <c r="Q35" s="2" t="s">
        <v>5</v>
      </c>
      <c r="R35" s="2" t="s">
        <v>5</v>
      </c>
      <c r="S35" s="2" t="s">
        <v>5</v>
      </c>
      <c r="T35" s="2" t="s">
        <v>5</v>
      </c>
      <c r="U35" s="2" t="s">
        <v>5</v>
      </c>
      <c r="V35" s="2" t="s">
        <v>5</v>
      </c>
      <c r="W35" s="2" t="s">
        <v>5</v>
      </c>
      <c r="X35" s="2"/>
      <c r="Y35" s="2"/>
      <c r="Z35" s="2"/>
      <c r="AA35" s="2"/>
      <c r="AB35" s="2"/>
      <c r="AC35" s="2"/>
      <c r="AD35" s="2"/>
      <c r="AE35" s="2"/>
      <c r="AF35" s="2">
        <v>799</v>
      </c>
      <c r="AG35" s="2" t="s">
        <v>5</v>
      </c>
      <c r="AH35" s="2" t="s">
        <v>5</v>
      </c>
      <c r="AI35" s="2" t="s">
        <v>5</v>
      </c>
      <c r="AJ35" s="2" t="s">
        <v>5</v>
      </c>
      <c r="AK35" s="2" t="s">
        <v>5</v>
      </c>
      <c r="AL35" s="8" t="s">
        <v>5</v>
      </c>
      <c r="AM35" s="8"/>
      <c r="AN35" s="8"/>
      <c r="AO35" s="8"/>
      <c r="AP35" s="8"/>
      <c r="AQ35" s="8"/>
    </row>
    <row r="36" spans="1:43">
      <c r="A36" s="2" t="s">
        <v>131</v>
      </c>
      <c r="B36" s="3" t="s">
        <v>202</v>
      </c>
      <c r="C36" s="2" t="s">
        <v>132</v>
      </c>
      <c r="D36" s="2">
        <f t="shared" si="0"/>
        <v>16</v>
      </c>
      <c r="E36" s="2">
        <f t="shared" si="1"/>
        <v>15</v>
      </c>
      <c r="F36" s="2">
        <f t="shared" si="2"/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>
        <v>760</v>
      </c>
      <c r="W36" s="2" t="s">
        <v>5</v>
      </c>
      <c r="X36" s="2" t="s">
        <v>5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5</v>
      </c>
      <c r="AF36" s="2" t="s">
        <v>5</v>
      </c>
      <c r="AG36" s="2" t="s">
        <v>5</v>
      </c>
      <c r="AH36" s="2" t="s">
        <v>5</v>
      </c>
      <c r="AI36" s="2" t="s">
        <v>5</v>
      </c>
      <c r="AJ36" s="2" t="s">
        <v>5</v>
      </c>
      <c r="AK36" s="2" t="s">
        <v>5</v>
      </c>
      <c r="AL36" s="8"/>
      <c r="AM36" s="8"/>
      <c r="AN36" s="8"/>
      <c r="AO36" s="8"/>
      <c r="AP36" s="8"/>
      <c r="AQ36" s="8"/>
    </row>
    <row r="37" spans="1:43">
      <c r="A37" s="2" t="s">
        <v>135</v>
      </c>
      <c r="B37" s="3" t="s">
        <v>202</v>
      </c>
      <c r="C37" s="2" t="s">
        <v>136</v>
      </c>
      <c r="D37" s="2">
        <f t="shared" si="0"/>
        <v>14</v>
      </c>
      <c r="E37" s="2">
        <f t="shared" si="1"/>
        <v>17</v>
      </c>
      <c r="F37" s="2">
        <f t="shared" si="2"/>
        <v>0</v>
      </c>
      <c r="G37" s="2"/>
      <c r="H37" s="2"/>
      <c r="I37" s="2"/>
      <c r="J37" s="2"/>
      <c r="K37" s="2"/>
      <c r="L37" s="2">
        <v>739</v>
      </c>
      <c r="M37" s="2" t="s">
        <v>5</v>
      </c>
      <c r="N37" s="2" t="s">
        <v>5</v>
      </c>
      <c r="O37" s="2" t="s">
        <v>5</v>
      </c>
      <c r="P37" s="2" t="s">
        <v>5</v>
      </c>
      <c r="Q37" s="2" t="s">
        <v>5</v>
      </c>
      <c r="R37" s="2" t="s">
        <v>5</v>
      </c>
      <c r="S37" s="2" t="s">
        <v>5</v>
      </c>
      <c r="T37" s="2" t="s">
        <v>5</v>
      </c>
      <c r="U37" s="2" t="s">
        <v>5</v>
      </c>
      <c r="V37" s="2" t="s">
        <v>5</v>
      </c>
      <c r="W37" s="2" t="s">
        <v>5</v>
      </c>
      <c r="X37" s="2" t="s">
        <v>5</v>
      </c>
      <c r="Y37" s="2" t="s">
        <v>5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8"/>
      <c r="AM37" s="8"/>
      <c r="AN37" s="8"/>
      <c r="AO37" s="8"/>
      <c r="AP37" s="8"/>
      <c r="AQ37" s="8"/>
    </row>
    <row r="38" spans="1:43">
      <c r="A38" s="2" t="s">
        <v>137</v>
      </c>
      <c r="B38" s="3" t="s">
        <v>202</v>
      </c>
      <c r="C38" s="2" t="s">
        <v>138</v>
      </c>
      <c r="D38" s="2">
        <f t="shared" si="0"/>
        <v>16</v>
      </c>
      <c r="E38" s="2">
        <f t="shared" si="1"/>
        <v>15</v>
      </c>
      <c r="F38" s="2">
        <f t="shared" si="2"/>
        <v>0</v>
      </c>
      <c r="G38" s="2"/>
      <c r="H38" s="2"/>
      <c r="I38" s="2">
        <v>720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5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 t="s">
        <v>5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8"/>
      <c r="AM38" s="8"/>
      <c r="AN38" s="8"/>
      <c r="AO38" s="8"/>
      <c r="AP38" s="8"/>
      <c r="AQ38" s="8"/>
    </row>
    <row r="39" spans="1:43">
      <c r="A39" s="2" t="s">
        <v>141</v>
      </c>
      <c r="B39" s="3" t="s">
        <v>202</v>
      </c>
      <c r="C39" s="2" t="s">
        <v>142</v>
      </c>
      <c r="D39" s="2">
        <f t="shared" si="0"/>
        <v>16</v>
      </c>
      <c r="E39" s="2">
        <f t="shared" si="1"/>
        <v>15</v>
      </c>
      <c r="F39" s="2">
        <f t="shared" si="2"/>
        <v>4</v>
      </c>
      <c r="G39" s="2" t="s">
        <v>5</v>
      </c>
      <c r="H39" s="2" t="s">
        <v>5</v>
      </c>
      <c r="I39" s="2" t="s">
        <v>5</v>
      </c>
      <c r="J39" s="2" t="s">
        <v>5</v>
      </c>
      <c r="K39" s="2" t="s">
        <v>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>
        <v>787</v>
      </c>
      <c r="AB39" s="2" t="s">
        <v>5</v>
      </c>
      <c r="AC39" s="2" t="s">
        <v>5</v>
      </c>
      <c r="AD39" s="2" t="s">
        <v>5</v>
      </c>
      <c r="AE39" s="2" t="s">
        <v>5</v>
      </c>
      <c r="AF39" s="2" t="s">
        <v>5</v>
      </c>
      <c r="AG39" s="2" t="s">
        <v>5</v>
      </c>
      <c r="AH39" s="2" t="s">
        <v>5</v>
      </c>
      <c r="AI39" s="2" t="s">
        <v>5</v>
      </c>
      <c r="AJ39" s="2" t="s">
        <v>5</v>
      </c>
      <c r="AK39" s="2" t="s">
        <v>5</v>
      </c>
      <c r="AL39" s="8" t="s">
        <v>5</v>
      </c>
      <c r="AM39" s="8" t="s">
        <v>5</v>
      </c>
      <c r="AN39" s="8" t="s">
        <v>5</v>
      </c>
      <c r="AO39" s="8" t="s">
        <v>5</v>
      </c>
      <c r="AP39" s="8"/>
      <c r="AQ39" s="8"/>
    </row>
    <row r="40" spans="1:43">
      <c r="A40" s="2" t="s">
        <v>143</v>
      </c>
      <c r="B40" s="3" t="s">
        <v>202</v>
      </c>
      <c r="C40" s="2" t="s">
        <v>144</v>
      </c>
      <c r="D40" s="2">
        <f t="shared" si="0"/>
        <v>16</v>
      </c>
      <c r="E40" s="2">
        <f t="shared" si="1"/>
        <v>15</v>
      </c>
      <c r="F40" s="2">
        <f t="shared" si="2"/>
        <v>0</v>
      </c>
      <c r="G40" s="2"/>
      <c r="H40" s="2" t="s">
        <v>5</v>
      </c>
      <c r="I40" s="2">
        <v>718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5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8"/>
      <c r="AM40" s="8"/>
      <c r="AN40" s="8"/>
      <c r="AO40" s="8"/>
      <c r="AP40" s="8"/>
      <c r="AQ40" s="8"/>
    </row>
    <row r="41" spans="1:43">
      <c r="A41" s="2" t="s">
        <v>150</v>
      </c>
      <c r="B41" s="3" t="s">
        <v>202</v>
      </c>
      <c r="C41" s="2" t="s">
        <v>151</v>
      </c>
      <c r="D41" s="2">
        <f t="shared" si="0"/>
        <v>16</v>
      </c>
      <c r="E41" s="2">
        <f t="shared" si="1"/>
        <v>15</v>
      </c>
      <c r="F41" s="2">
        <f t="shared" si="2"/>
        <v>0</v>
      </c>
      <c r="G41" s="2">
        <v>710</v>
      </c>
      <c r="H41" s="2" t="s">
        <v>5</v>
      </c>
      <c r="I41" s="2" t="s">
        <v>5</v>
      </c>
      <c r="J41" s="2" t="s">
        <v>5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8"/>
      <c r="AM41" s="8"/>
      <c r="AN41" s="8"/>
      <c r="AO41" s="8"/>
      <c r="AP41" s="8"/>
      <c r="AQ41" s="8"/>
    </row>
    <row r="42" spans="1:43">
      <c r="A42" s="2" t="s">
        <v>164</v>
      </c>
      <c r="B42" s="3" t="s">
        <v>202</v>
      </c>
      <c r="C42" s="2" t="s">
        <v>165</v>
      </c>
      <c r="D42" s="2">
        <f t="shared" si="0"/>
        <v>16</v>
      </c>
      <c r="E42" s="2">
        <f t="shared" si="1"/>
        <v>15</v>
      </c>
      <c r="F42" s="2">
        <f t="shared" si="2"/>
        <v>1</v>
      </c>
      <c r="G42" s="2" t="s">
        <v>5</v>
      </c>
      <c r="H42" s="2" t="s">
        <v>5</v>
      </c>
      <c r="I42" s="2" t="s">
        <v>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776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5</v>
      </c>
      <c r="AG42" s="2" t="s">
        <v>5</v>
      </c>
      <c r="AH42" s="2" t="s">
        <v>5</v>
      </c>
      <c r="AI42" s="2" t="s">
        <v>5</v>
      </c>
      <c r="AJ42" s="2" t="s">
        <v>5</v>
      </c>
      <c r="AK42" s="2" t="s">
        <v>5</v>
      </c>
      <c r="AL42" s="8" t="s">
        <v>5</v>
      </c>
      <c r="AM42" s="8"/>
      <c r="AN42" s="8"/>
      <c r="AO42" s="8"/>
      <c r="AP42" s="8"/>
      <c r="AQ42" s="8"/>
    </row>
    <row r="43" spans="1:43">
      <c r="A43" s="2" t="s">
        <v>170</v>
      </c>
      <c r="B43" s="3" t="s">
        <v>202</v>
      </c>
      <c r="C43" s="2" t="s">
        <v>171</v>
      </c>
      <c r="D43" s="2">
        <f t="shared" si="0"/>
        <v>16</v>
      </c>
      <c r="E43" s="2">
        <f t="shared" si="1"/>
        <v>15</v>
      </c>
      <c r="F43" s="2">
        <f t="shared" si="2"/>
        <v>2</v>
      </c>
      <c r="G43" s="2" t="s">
        <v>5</v>
      </c>
      <c r="H43" s="2" t="s">
        <v>5</v>
      </c>
      <c r="I43" s="2" t="s">
        <v>5</v>
      </c>
      <c r="J43" s="2" t="s">
        <v>5</v>
      </c>
      <c r="K43" s="2" t="s">
        <v>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>
        <v>786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5</v>
      </c>
      <c r="AG43" s="2" t="s">
        <v>5</v>
      </c>
      <c r="AH43" s="2" t="s">
        <v>5</v>
      </c>
      <c r="AI43" s="2" t="s">
        <v>5</v>
      </c>
      <c r="AJ43" s="2" t="s">
        <v>5</v>
      </c>
      <c r="AK43" s="2" t="s">
        <v>5</v>
      </c>
      <c r="AL43" s="8" t="s">
        <v>5</v>
      </c>
      <c r="AM43" s="8" t="s">
        <v>5</v>
      </c>
      <c r="AN43" s="8"/>
      <c r="AO43" s="8"/>
      <c r="AP43" s="8"/>
      <c r="AQ43" s="8"/>
    </row>
    <row r="44" spans="1:43">
      <c r="A44" s="2" t="s">
        <v>172</v>
      </c>
      <c r="B44" s="3" t="s">
        <v>202</v>
      </c>
      <c r="C44" s="2" t="s">
        <v>173</v>
      </c>
      <c r="D44" s="2">
        <f t="shared" si="0"/>
        <v>16</v>
      </c>
      <c r="E44" s="2">
        <f t="shared" si="1"/>
        <v>15</v>
      </c>
      <c r="F44" s="2">
        <f t="shared" si="2"/>
        <v>2</v>
      </c>
      <c r="G44" s="2">
        <v>709</v>
      </c>
      <c r="H44" s="2" t="s">
        <v>5</v>
      </c>
      <c r="I44" s="2" t="s">
        <v>5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5</v>
      </c>
      <c r="P44" s="2" t="s">
        <v>5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798</v>
      </c>
      <c r="AG44" s="2" t="s">
        <v>5</v>
      </c>
      <c r="AH44" s="2" t="s">
        <v>5</v>
      </c>
      <c r="AI44" s="2" t="s">
        <v>5</v>
      </c>
      <c r="AJ44" s="2" t="s">
        <v>5</v>
      </c>
      <c r="AK44" s="2" t="s">
        <v>5</v>
      </c>
      <c r="AL44" s="8" t="s">
        <v>5</v>
      </c>
      <c r="AM44" s="8" t="s">
        <v>5</v>
      </c>
      <c r="AN44" s="8"/>
      <c r="AO44" s="8"/>
      <c r="AP44" s="8"/>
      <c r="AQ44" s="8"/>
    </row>
    <row r="45" spans="1:43">
      <c r="A45" s="2" t="s">
        <v>174</v>
      </c>
      <c r="B45" s="3" t="s">
        <v>202</v>
      </c>
      <c r="C45" s="2" t="s">
        <v>175</v>
      </c>
      <c r="D45" s="2">
        <f t="shared" si="0"/>
        <v>16</v>
      </c>
      <c r="E45" s="2">
        <f t="shared" si="1"/>
        <v>15</v>
      </c>
      <c r="F45" s="2">
        <f t="shared" si="2"/>
        <v>0</v>
      </c>
      <c r="G45" s="2"/>
      <c r="H45" s="2"/>
      <c r="I45" s="2"/>
      <c r="J45" s="2"/>
      <c r="K45" s="2"/>
      <c r="L45" s="2">
        <v>738</v>
      </c>
      <c r="M45" s="2" t="s">
        <v>5</v>
      </c>
      <c r="N45" s="2" t="s">
        <v>5</v>
      </c>
      <c r="O45" s="2" t="s">
        <v>5</v>
      </c>
      <c r="P45" s="2" t="s">
        <v>5</v>
      </c>
      <c r="Q45" s="2" t="s">
        <v>5</v>
      </c>
      <c r="R45" s="2" t="s">
        <v>5</v>
      </c>
      <c r="S45" s="2" t="s">
        <v>5</v>
      </c>
      <c r="T45" s="2" t="s">
        <v>5</v>
      </c>
      <c r="U45" s="2" t="s">
        <v>5</v>
      </c>
      <c r="V45" s="2" t="s">
        <v>5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8"/>
      <c r="AM45" s="8"/>
      <c r="AN45" s="8"/>
      <c r="AO45" s="8"/>
      <c r="AP45" s="8"/>
      <c r="AQ45" s="8"/>
    </row>
    <row r="46" spans="1:43">
      <c r="A46" s="2" t="s">
        <v>176</v>
      </c>
      <c r="B46" s="3" t="s">
        <v>202</v>
      </c>
      <c r="C46" s="2" t="s">
        <v>104</v>
      </c>
      <c r="D46" s="2">
        <f t="shared" si="0"/>
        <v>16</v>
      </c>
      <c r="E46" s="2">
        <f t="shared" si="1"/>
        <v>15</v>
      </c>
      <c r="F46" s="2">
        <f t="shared" si="2"/>
        <v>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755</v>
      </c>
      <c r="V46" s="2" t="s">
        <v>5</v>
      </c>
      <c r="W46" s="2" t="s">
        <v>5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</v>
      </c>
      <c r="AF46" s="2" t="s">
        <v>5</v>
      </c>
      <c r="AG46" s="2" t="s">
        <v>5</v>
      </c>
      <c r="AH46" s="2" t="s">
        <v>5</v>
      </c>
      <c r="AI46" s="2" t="s">
        <v>5</v>
      </c>
      <c r="AJ46" s="2" t="s">
        <v>5</v>
      </c>
      <c r="AK46" s="2"/>
      <c r="AL46" s="8"/>
      <c r="AM46" s="8"/>
      <c r="AN46" s="8"/>
      <c r="AO46" s="8"/>
      <c r="AP46" s="8"/>
      <c r="AQ46" s="8"/>
    </row>
    <row r="47" spans="1:43">
      <c r="A47" s="2" t="s">
        <v>31</v>
      </c>
      <c r="B47" s="3" t="s">
        <v>202</v>
      </c>
      <c r="C47" s="2" t="s">
        <v>32</v>
      </c>
      <c r="D47" s="2">
        <f t="shared" si="0"/>
        <v>15</v>
      </c>
      <c r="E47" s="2">
        <f t="shared" si="1"/>
        <v>16</v>
      </c>
      <c r="F47" s="2">
        <f t="shared" si="2"/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>
        <v>752</v>
      </c>
      <c r="T47" s="2" t="s">
        <v>5</v>
      </c>
      <c r="U47" s="2" t="s">
        <v>5</v>
      </c>
      <c r="V47" s="2" t="s">
        <v>5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</v>
      </c>
      <c r="AF47" s="2" t="s">
        <v>5</v>
      </c>
      <c r="AG47" s="2" t="s">
        <v>5</v>
      </c>
      <c r="AH47" s="2"/>
      <c r="AI47" s="2"/>
      <c r="AJ47" s="2"/>
      <c r="AK47" s="2"/>
      <c r="AL47" s="8"/>
      <c r="AM47" s="8"/>
      <c r="AN47" s="8"/>
      <c r="AO47" s="8"/>
      <c r="AP47" s="8"/>
      <c r="AQ47" s="8"/>
    </row>
    <row r="48" spans="1:43">
      <c r="A48" s="2" t="s">
        <v>35</v>
      </c>
      <c r="B48" s="3" t="s">
        <v>202</v>
      </c>
      <c r="C48" s="2" t="s">
        <v>36</v>
      </c>
      <c r="D48" s="2">
        <f t="shared" si="0"/>
        <v>15</v>
      </c>
      <c r="E48" s="2">
        <f t="shared" si="1"/>
        <v>16</v>
      </c>
      <c r="F48" s="2">
        <f t="shared" si="2"/>
        <v>0</v>
      </c>
      <c r="G48" s="2"/>
      <c r="H48" s="2"/>
      <c r="I48" s="2"/>
      <c r="J48" s="2"/>
      <c r="K48" s="2"/>
      <c r="L48" s="2"/>
      <c r="M48" s="2">
        <v>740</v>
      </c>
      <c r="N48" s="2" t="s">
        <v>5</v>
      </c>
      <c r="O48" s="2" t="s">
        <v>5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8"/>
      <c r="AM48" s="8"/>
      <c r="AN48" s="8"/>
      <c r="AO48" s="8"/>
      <c r="AP48" s="8"/>
      <c r="AQ48" s="8"/>
    </row>
    <row r="49" spans="1:43">
      <c r="A49" s="2" t="s">
        <v>37</v>
      </c>
      <c r="B49" s="3" t="s">
        <v>202</v>
      </c>
      <c r="C49" s="2" t="s">
        <v>38</v>
      </c>
      <c r="D49" s="2">
        <f t="shared" si="0"/>
        <v>15</v>
      </c>
      <c r="E49" s="2">
        <f t="shared" si="1"/>
        <v>16</v>
      </c>
      <c r="F49" s="2">
        <f t="shared" si="2"/>
        <v>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5</v>
      </c>
      <c r="X49" s="2">
        <v>768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5</v>
      </c>
      <c r="AG49" s="2" t="s">
        <v>5</v>
      </c>
      <c r="AH49" s="2" t="s">
        <v>5</v>
      </c>
      <c r="AI49" s="2" t="s">
        <v>5</v>
      </c>
      <c r="AJ49" s="2" t="s">
        <v>5</v>
      </c>
      <c r="AK49" s="2" t="s">
        <v>5</v>
      </c>
      <c r="AL49" s="8" t="s">
        <v>5</v>
      </c>
      <c r="AM49" s="8"/>
      <c r="AN49" s="8"/>
      <c r="AO49" s="8"/>
      <c r="AP49" s="8"/>
      <c r="AQ49" s="8"/>
    </row>
    <row r="50" spans="1:43">
      <c r="A50" s="2" t="s">
        <v>41</v>
      </c>
      <c r="B50" s="3" t="s">
        <v>202</v>
      </c>
      <c r="C50" s="2" t="s">
        <v>42</v>
      </c>
      <c r="D50" s="2">
        <f t="shared" si="0"/>
        <v>16</v>
      </c>
      <c r="E50" s="2">
        <f t="shared" si="1"/>
        <v>15</v>
      </c>
      <c r="F50" s="2">
        <f t="shared" si="2"/>
        <v>1</v>
      </c>
      <c r="G50" s="2">
        <v>708</v>
      </c>
      <c r="H50" s="2" t="s">
        <v>5</v>
      </c>
      <c r="I50" s="2" t="s">
        <v>5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5</v>
      </c>
      <c r="P50" s="2" t="s">
        <v>5</v>
      </c>
      <c r="Q50" s="2" t="s">
        <v>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>
        <v>806</v>
      </c>
      <c r="AH50" s="2" t="s">
        <v>5</v>
      </c>
      <c r="AI50" s="2" t="s">
        <v>5</v>
      </c>
      <c r="AJ50" s="2" t="s">
        <v>5</v>
      </c>
      <c r="AK50" s="2" t="s">
        <v>5</v>
      </c>
      <c r="AL50" s="8" t="s">
        <v>5</v>
      </c>
      <c r="AM50" s="8"/>
      <c r="AN50" s="8"/>
      <c r="AO50" s="8"/>
      <c r="AP50" s="8"/>
      <c r="AQ50" s="8"/>
    </row>
    <row r="51" spans="1:43">
      <c r="A51" s="2" t="s">
        <v>55</v>
      </c>
      <c r="B51" s="3" t="s">
        <v>202</v>
      </c>
      <c r="C51" s="2" t="s">
        <v>56</v>
      </c>
      <c r="D51" s="2">
        <f t="shared" si="0"/>
        <v>15</v>
      </c>
      <c r="E51" s="2">
        <f t="shared" si="1"/>
        <v>16</v>
      </c>
      <c r="F51" s="2">
        <f t="shared" si="2"/>
        <v>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>
        <v>766</v>
      </c>
      <c r="X51" s="2" t="s">
        <v>5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5</v>
      </c>
      <c r="AF51" s="2" t="s">
        <v>5</v>
      </c>
      <c r="AG51" s="2" t="s">
        <v>5</v>
      </c>
      <c r="AH51" s="2" t="s">
        <v>5</v>
      </c>
      <c r="AI51" s="2" t="s">
        <v>5</v>
      </c>
      <c r="AJ51" s="2" t="s">
        <v>5</v>
      </c>
      <c r="AK51" s="2" t="s">
        <v>5</v>
      </c>
      <c r="AL51" s="8" t="s">
        <v>5</v>
      </c>
      <c r="AM51" s="8" t="s">
        <v>5</v>
      </c>
      <c r="AN51" s="8" t="s">
        <v>5</v>
      </c>
      <c r="AO51" s="8"/>
      <c r="AP51" s="8"/>
      <c r="AQ51" s="8"/>
    </row>
    <row r="52" spans="1:43">
      <c r="A52" s="2" t="s">
        <v>57</v>
      </c>
      <c r="B52" s="3" t="s">
        <v>202</v>
      </c>
      <c r="C52" s="2" t="s">
        <v>58</v>
      </c>
      <c r="D52" s="2">
        <f t="shared" si="0"/>
        <v>15</v>
      </c>
      <c r="E52" s="2">
        <f t="shared" si="1"/>
        <v>16</v>
      </c>
      <c r="F52" s="2">
        <f t="shared" si="2"/>
        <v>0</v>
      </c>
      <c r="G52" s="2"/>
      <c r="H52" s="2"/>
      <c r="I52" s="2"/>
      <c r="J52" s="2"/>
      <c r="K52" s="2"/>
      <c r="L52" s="2"/>
      <c r="M52" s="2" t="s">
        <v>5</v>
      </c>
      <c r="N52" s="2">
        <v>804</v>
      </c>
      <c r="O52" s="2" t="s">
        <v>5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8"/>
      <c r="AM52" s="8"/>
      <c r="AN52" s="8"/>
      <c r="AO52" s="8"/>
      <c r="AP52" s="8"/>
      <c r="AQ52" s="8"/>
    </row>
    <row r="53" spans="1:43">
      <c r="A53" s="2" t="s">
        <v>78</v>
      </c>
      <c r="B53" s="3" t="s">
        <v>202</v>
      </c>
      <c r="C53" s="2" t="s">
        <v>79</v>
      </c>
      <c r="D53" s="2">
        <f t="shared" si="0"/>
        <v>15</v>
      </c>
      <c r="E53" s="2">
        <f t="shared" si="1"/>
        <v>16</v>
      </c>
      <c r="F53" s="2">
        <f t="shared" si="2"/>
        <v>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>
        <v>764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8"/>
      <c r="AM53" s="8"/>
      <c r="AN53" s="8"/>
      <c r="AO53" s="8"/>
      <c r="AP53" s="8"/>
      <c r="AQ53" s="8"/>
    </row>
    <row r="54" spans="1:43">
      <c r="A54" s="2" t="s">
        <v>93</v>
      </c>
      <c r="B54" s="3" t="s">
        <v>202</v>
      </c>
      <c r="C54" s="2" t="s">
        <v>94</v>
      </c>
      <c r="D54" s="2">
        <f t="shared" si="0"/>
        <v>15</v>
      </c>
      <c r="E54" s="2">
        <f t="shared" si="1"/>
        <v>16</v>
      </c>
      <c r="F54" s="2">
        <f t="shared" si="2"/>
        <v>0</v>
      </c>
      <c r="G54" s="2"/>
      <c r="H54" s="2"/>
      <c r="I54" s="2"/>
      <c r="J54" s="2"/>
      <c r="K54" s="2">
        <v>732</v>
      </c>
      <c r="L54" s="2" t="s">
        <v>5</v>
      </c>
      <c r="M54" s="2" t="s">
        <v>5</v>
      </c>
      <c r="N54" s="2" t="s">
        <v>5</v>
      </c>
      <c r="O54" s="2" t="s">
        <v>5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 t="s">
        <v>5</v>
      </c>
      <c r="Y54" s="2" t="s">
        <v>5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8"/>
      <c r="AM54" s="8"/>
      <c r="AN54" s="8"/>
      <c r="AO54" s="8"/>
      <c r="AP54" s="8"/>
      <c r="AQ54" s="8"/>
    </row>
    <row r="55" spans="1:43">
      <c r="A55" s="2" t="s">
        <v>127</v>
      </c>
      <c r="B55" s="3" t="s">
        <v>202</v>
      </c>
      <c r="C55" s="2" t="s">
        <v>128</v>
      </c>
      <c r="D55" s="2">
        <f t="shared" si="0"/>
        <v>14</v>
      </c>
      <c r="E55" s="2">
        <f t="shared" si="1"/>
        <v>17</v>
      </c>
      <c r="F55" s="2">
        <f t="shared" si="2"/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5</v>
      </c>
      <c r="V55" s="2">
        <v>759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5</v>
      </c>
      <c r="AF55" s="2" t="s">
        <v>5</v>
      </c>
      <c r="AG55" s="2" t="s">
        <v>5</v>
      </c>
      <c r="AH55" s="2" t="s">
        <v>5</v>
      </c>
      <c r="AI55" s="2"/>
      <c r="AJ55" s="2"/>
      <c r="AK55" s="2"/>
      <c r="AL55" s="8"/>
      <c r="AM55" s="8"/>
      <c r="AN55" s="8"/>
      <c r="AO55" s="8"/>
      <c r="AP55" s="8"/>
      <c r="AQ55" s="8"/>
    </row>
    <row r="56" spans="1:43">
      <c r="A56" s="2" t="s">
        <v>13</v>
      </c>
      <c r="B56" s="3" t="s">
        <v>202</v>
      </c>
      <c r="C56" s="2" t="s">
        <v>14</v>
      </c>
      <c r="D56" s="2">
        <f t="shared" si="0"/>
        <v>14</v>
      </c>
      <c r="E56" s="2">
        <f t="shared" si="1"/>
        <v>17</v>
      </c>
      <c r="F56" s="2">
        <f t="shared" si="2"/>
        <v>0</v>
      </c>
      <c r="G56" s="2"/>
      <c r="H56" s="2"/>
      <c r="I56" s="2"/>
      <c r="J56" s="2">
        <v>726</v>
      </c>
      <c r="K56" s="2" t="s">
        <v>5</v>
      </c>
      <c r="L56" s="2" t="s">
        <v>5</v>
      </c>
      <c r="M56" s="2" t="s">
        <v>5</v>
      </c>
      <c r="N56" s="2" t="s">
        <v>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>
        <v>792</v>
      </c>
      <c r="AD56" s="2" t="s">
        <v>5</v>
      </c>
      <c r="AE56" s="2" t="s">
        <v>5</v>
      </c>
      <c r="AF56" s="2" t="s">
        <v>5</v>
      </c>
      <c r="AG56" s="2" t="s">
        <v>5</v>
      </c>
      <c r="AH56" s="2" t="s">
        <v>5</v>
      </c>
      <c r="AI56" s="2" t="s">
        <v>5</v>
      </c>
      <c r="AJ56" s="2" t="s">
        <v>5</v>
      </c>
      <c r="AK56" s="2" t="s">
        <v>5</v>
      </c>
      <c r="AL56" s="8"/>
      <c r="AM56" s="8"/>
      <c r="AN56" s="8"/>
      <c r="AO56" s="8"/>
      <c r="AP56" s="8"/>
      <c r="AQ56" s="8"/>
    </row>
    <row r="57" spans="1:43">
      <c r="A57" s="2" t="s">
        <v>15</v>
      </c>
      <c r="B57" s="3" t="s">
        <v>202</v>
      </c>
      <c r="C57" s="2" t="s">
        <v>16</v>
      </c>
      <c r="D57" s="2">
        <f t="shared" si="0"/>
        <v>14</v>
      </c>
      <c r="E57" s="2">
        <f t="shared" si="1"/>
        <v>17</v>
      </c>
      <c r="F57" s="2">
        <f t="shared" si="2"/>
        <v>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>
        <v>771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</v>
      </c>
      <c r="AF57" s="2" t="s">
        <v>5</v>
      </c>
      <c r="AG57" s="2" t="s">
        <v>5</v>
      </c>
      <c r="AH57" s="2" t="s">
        <v>5</v>
      </c>
      <c r="AI57" s="2" t="s">
        <v>5</v>
      </c>
      <c r="AJ57" s="2" t="s">
        <v>5</v>
      </c>
      <c r="AK57" s="2" t="s">
        <v>5</v>
      </c>
      <c r="AL57" s="8" t="s">
        <v>5</v>
      </c>
      <c r="AM57" s="8" t="s">
        <v>5</v>
      </c>
      <c r="AN57" s="8"/>
      <c r="AO57" s="8"/>
      <c r="AP57" s="8"/>
      <c r="AQ57" s="8"/>
    </row>
    <row r="58" spans="1:43">
      <c r="A58" s="2" t="s">
        <v>27</v>
      </c>
      <c r="B58" s="3" t="s">
        <v>202</v>
      </c>
      <c r="C58" s="2" t="s">
        <v>28</v>
      </c>
      <c r="D58" s="2">
        <f t="shared" si="0"/>
        <v>14</v>
      </c>
      <c r="E58" s="2">
        <f t="shared" si="1"/>
        <v>17</v>
      </c>
      <c r="F58" s="2">
        <f t="shared" si="2"/>
        <v>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>
        <v>772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5</v>
      </c>
      <c r="AG58" s="2" t="s">
        <v>5</v>
      </c>
      <c r="AH58" s="2" t="s">
        <v>5</v>
      </c>
      <c r="AI58" s="2" t="s">
        <v>5</v>
      </c>
      <c r="AJ58" s="2" t="s">
        <v>5</v>
      </c>
      <c r="AK58" s="2" t="s">
        <v>5</v>
      </c>
      <c r="AL58" s="8"/>
      <c r="AM58" s="8"/>
      <c r="AN58" s="8"/>
      <c r="AO58" s="8"/>
      <c r="AP58" s="8"/>
      <c r="AQ58" s="8"/>
    </row>
    <row r="59" spans="1:43">
      <c r="A59" s="2" t="s">
        <v>53</v>
      </c>
      <c r="B59" s="3" t="s">
        <v>202</v>
      </c>
      <c r="C59" s="2" t="s">
        <v>54</v>
      </c>
      <c r="D59" s="2">
        <f t="shared" si="0"/>
        <v>14</v>
      </c>
      <c r="E59" s="2">
        <f t="shared" si="1"/>
        <v>17</v>
      </c>
      <c r="F59" s="2">
        <f t="shared" si="2"/>
        <v>5</v>
      </c>
      <c r="G59" s="2" t="s">
        <v>5</v>
      </c>
      <c r="H59" s="2" t="s">
        <v>5</v>
      </c>
      <c r="I59" s="2" t="s">
        <v>5</v>
      </c>
      <c r="J59" s="2" t="s">
        <v>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5</v>
      </c>
      <c r="AC59" s="2">
        <v>791</v>
      </c>
      <c r="AD59" s="2" t="s">
        <v>5</v>
      </c>
      <c r="AE59" s="2" t="s">
        <v>5</v>
      </c>
      <c r="AF59" s="2" t="s">
        <v>5</v>
      </c>
      <c r="AG59" s="2" t="s">
        <v>5</v>
      </c>
      <c r="AH59" s="2" t="s">
        <v>5</v>
      </c>
      <c r="AI59" s="2" t="s">
        <v>5</v>
      </c>
      <c r="AJ59" s="2" t="s">
        <v>5</v>
      </c>
      <c r="AK59" s="2" t="s">
        <v>5</v>
      </c>
      <c r="AL59" s="8" t="s">
        <v>5</v>
      </c>
      <c r="AM59" s="8" t="s">
        <v>5</v>
      </c>
      <c r="AN59" s="8" t="s">
        <v>5</v>
      </c>
      <c r="AO59" s="8" t="s">
        <v>5</v>
      </c>
      <c r="AP59" s="8" t="s">
        <v>5</v>
      </c>
      <c r="AQ59" s="8"/>
    </row>
    <row r="60" spans="1:43">
      <c r="A60" s="2" t="s">
        <v>61</v>
      </c>
      <c r="B60" s="3" t="s">
        <v>202</v>
      </c>
      <c r="C60" s="2" t="s">
        <v>62</v>
      </c>
      <c r="D60" s="2">
        <f t="shared" si="0"/>
        <v>14</v>
      </c>
      <c r="E60" s="2">
        <f t="shared" si="1"/>
        <v>17</v>
      </c>
      <c r="F60" s="2">
        <f t="shared" si="2"/>
        <v>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>
        <v>773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</v>
      </c>
      <c r="AH60" s="2" t="s">
        <v>5</v>
      </c>
      <c r="AI60" s="2" t="s">
        <v>5</v>
      </c>
      <c r="AJ60" s="2" t="s">
        <v>5</v>
      </c>
      <c r="AK60" s="2" t="s">
        <v>5</v>
      </c>
      <c r="AL60" s="8" t="s">
        <v>5</v>
      </c>
      <c r="AM60" s="8" t="s">
        <v>5</v>
      </c>
      <c r="AN60" s="8"/>
      <c r="AO60" s="8"/>
      <c r="AP60" s="8"/>
      <c r="AQ60" s="8"/>
    </row>
    <row r="61" spans="1:43">
      <c r="A61" s="2" t="s">
        <v>65</v>
      </c>
      <c r="B61" s="3" t="s">
        <v>202</v>
      </c>
      <c r="C61" s="2" t="s">
        <v>24</v>
      </c>
      <c r="D61" s="2">
        <f t="shared" si="0"/>
        <v>14</v>
      </c>
      <c r="E61" s="2">
        <f t="shared" si="1"/>
        <v>17</v>
      </c>
      <c r="F61" s="2">
        <f t="shared" si="2"/>
        <v>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>
        <v>770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5</v>
      </c>
      <c r="AF61" s="2" t="s">
        <v>5</v>
      </c>
      <c r="AG61" s="2" t="s">
        <v>5</v>
      </c>
      <c r="AH61" s="2" t="s">
        <v>5</v>
      </c>
      <c r="AI61" s="2" t="s">
        <v>5</v>
      </c>
      <c r="AJ61" s="2" t="s">
        <v>5</v>
      </c>
      <c r="AK61" s="2" t="s">
        <v>5</v>
      </c>
      <c r="AL61" s="8" t="s">
        <v>5</v>
      </c>
      <c r="AM61" s="8"/>
      <c r="AN61" s="8"/>
      <c r="AO61" s="8"/>
      <c r="AP61" s="8"/>
      <c r="AQ61" s="8"/>
    </row>
    <row r="62" spans="1:43">
      <c r="A62" s="2" t="s">
        <v>68</v>
      </c>
      <c r="B62" s="3" t="s">
        <v>202</v>
      </c>
      <c r="C62" s="2" t="s">
        <v>69</v>
      </c>
      <c r="D62" s="2">
        <f t="shared" si="0"/>
        <v>14</v>
      </c>
      <c r="E62" s="2">
        <f t="shared" si="1"/>
        <v>17</v>
      </c>
      <c r="F62" s="2">
        <f t="shared" si="2"/>
        <v>4</v>
      </c>
      <c r="G62" s="2" t="s">
        <v>5</v>
      </c>
      <c r="H62" s="2" t="s">
        <v>5</v>
      </c>
      <c r="I62" s="2" t="s">
        <v>5</v>
      </c>
      <c r="J62" s="2" t="s">
        <v>5</v>
      </c>
      <c r="K62" s="2" t="s">
        <v>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>
        <v>793</v>
      </c>
      <c r="AD62" s="2" t="s">
        <v>5</v>
      </c>
      <c r="AE62" s="2" t="s">
        <v>5</v>
      </c>
      <c r="AF62" s="2" t="s">
        <v>5</v>
      </c>
      <c r="AG62" s="2" t="s">
        <v>5</v>
      </c>
      <c r="AH62" s="2" t="s">
        <v>5</v>
      </c>
      <c r="AI62" s="2" t="s">
        <v>5</v>
      </c>
      <c r="AJ62" s="2" t="s">
        <v>5</v>
      </c>
      <c r="AK62" s="2" t="s">
        <v>5</v>
      </c>
      <c r="AL62" s="8" t="s">
        <v>5</v>
      </c>
      <c r="AM62" s="8" t="s">
        <v>5</v>
      </c>
      <c r="AN62" s="8" t="s">
        <v>5</v>
      </c>
      <c r="AO62" s="8" t="s">
        <v>5</v>
      </c>
      <c r="AP62" s="8"/>
      <c r="AQ62" s="8"/>
    </row>
    <row r="63" spans="1:43">
      <c r="A63" s="2" t="s">
        <v>80</v>
      </c>
      <c r="B63" s="3" t="s">
        <v>202</v>
      </c>
      <c r="C63" s="2" t="s">
        <v>81</v>
      </c>
      <c r="D63" s="2">
        <f t="shared" si="0"/>
        <v>14</v>
      </c>
      <c r="E63" s="2">
        <f t="shared" si="1"/>
        <v>17</v>
      </c>
      <c r="F63" s="2">
        <f t="shared" si="2"/>
        <v>0</v>
      </c>
      <c r="G63" s="2"/>
      <c r="H63" s="2"/>
      <c r="I63" s="2"/>
      <c r="J63" s="2"/>
      <c r="K63" s="2">
        <v>730</v>
      </c>
      <c r="L63" s="2" t="s">
        <v>5</v>
      </c>
      <c r="M63" s="2" t="s">
        <v>5</v>
      </c>
      <c r="N63" s="2" t="s">
        <v>5</v>
      </c>
      <c r="O63" s="2" t="s">
        <v>5</v>
      </c>
      <c r="P63" s="2" t="s">
        <v>204</v>
      </c>
      <c r="Q63" s="2" t="s">
        <v>5</v>
      </c>
      <c r="R63" s="2" t="s">
        <v>5</v>
      </c>
      <c r="S63" s="2" t="s">
        <v>5</v>
      </c>
      <c r="T63" s="2" t="s">
        <v>5</v>
      </c>
      <c r="U63" s="2" t="s">
        <v>5</v>
      </c>
      <c r="V63" s="2" t="s">
        <v>5</v>
      </c>
      <c r="W63" s="2" t="s">
        <v>5</v>
      </c>
      <c r="X63" s="2" t="s">
        <v>5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8"/>
      <c r="AM63" s="8"/>
      <c r="AN63" s="8"/>
      <c r="AO63" s="8"/>
      <c r="AP63" s="8"/>
      <c r="AQ63" s="8"/>
    </row>
    <row r="64" spans="1:43">
      <c r="A64" s="2" t="s">
        <v>84</v>
      </c>
      <c r="B64" s="3" t="s">
        <v>202</v>
      </c>
      <c r="C64" s="2" t="s">
        <v>85</v>
      </c>
      <c r="D64" s="2">
        <f t="shared" si="0"/>
        <v>14</v>
      </c>
      <c r="E64" s="2">
        <f t="shared" si="1"/>
        <v>17</v>
      </c>
      <c r="F64" s="2">
        <f t="shared" si="2"/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>
        <v>750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 t="s">
        <v>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5</v>
      </c>
      <c r="AF64" s="2"/>
      <c r="AG64" s="2"/>
      <c r="AH64" s="2"/>
      <c r="AI64" s="2"/>
      <c r="AJ64" s="2"/>
      <c r="AK64" s="2"/>
      <c r="AL64" s="8"/>
      <c r="AM64" s="8"/>
      <c r="AN64" s="8"/>
      <c r="AO64" s="8"/>
      <c r="AP64" s="8"/>
      <c r="AQ64" s="8"/>
    </row>
    <row r="65" spans="1:43">
      <c r="A65" s="2" t="s">
        <v>86</v>
      </c>
      <c r="B65" s="3" t="s">
        <v>202</v>
      </c>
      <c r="C65" s="2" t="s">
        <v>75</v>
      </c>
      <c r="D65" s="2">
        <f t="shared" si="0"/>
        <v>14</v>
      </c>
      <c r="E65" s="2">
        <f t="shared" si="1"/>
        <v>17</v>
      </c>
      <c r="F65" s="2">
        <f t="shared" si="2"/>
        <v>0</v>
      </c>
      <c r="G65" s="2"/>
      <c r="H65" s="2"/>
      <c r="I65" s="2"/>
      <c r="J65" s="2"/>
      <c r="K65" s="2"/>
      <c r="L65" s="2">
        <v>737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8"/>
      <c r="AM65" s="8"/>
      <c r="AN65" s="8"/>
      <c r="AO65" s="8"/>
      <c r="AP65" s="8"/>
      <c r="AQ65" s="8"/>
    </row>
    <row r="66" spans="1:43">
      <c r="A66" s="2" t="s">
        <v>89</v>
      </c>
      <c r="B66" s="3" t="s">
        <v>202</v>
      </c>
      <c r="C66" s="2" t="s">
        <v>90</v>
      </c>
      <c r="D66" s="2">
        <f t="shared" si="0"/>
        <v>14</v>
      </c>
      <c r="E66" s="2">
        <f t="shared" si="1"/>
        <v>17</v>
      </c>
      <c r="F66" s="2">
        <f t="shared" si="2"/>
        <v>2</v>
      </c>
      <c r="G66" s="2" t="s">
        <v>5</v>
      </c>
      <c r="H66" s="2" t="s">
        <v>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>
        <v>783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</v>
      </c>
      <c r="AF66" s="2" t="s">
        <v>5</v>
      </c>
      <c r="AG66" s="2" t="s">
        <v>5</v>
      </c>
      <c r="AH66" s="2" t="s">
        <v>5</v>
      </c>
      <c r="AI66" s="2" t="s">
        <v>5</v>
      </c>
      <c r="AJ66" s="2" t="s">
        <v>5</v>
      </c>
      <c r="AK66" s="2" t="s">
        <v>5</v>
      </c>
      <c r="AL66" s="8" t="s">
        <v>5</v>
      </c>
      <c r="AM66" s="8" t="s">
        <v>5</v>
      </c>
      <c r="AN66" s="8"/>
      <c r="AO66" s="8"/>
      <c r="AP66" s="8"/>
      <c r="AQ66" s="8"/>
    </row>
    <row r="67" spans="1:43">
      <c r="A67" s="2" t="s">
        <v>97</v>
      </c>
      <c r="B67" s="3" t="s">
        <v>202</v>
      </c>
      <c r="C67" s="2" t="s">
        <v>98</v>
      </c>
      <c r="D67" s="2">
        <f t="shared" ref="D67:D94" si="3">COUNTIF(G67:AK67, "&lt;&gt;")</f>
        <v>14</v>
      </c>
      <c r="E67" s="2">
        <f t="shared" ref="E67:E94" si="4">31-D67</f>
        <v>17</v>
      </c>
      <c r="F67" s="2">
        <f t="shared" ref="F67:F94" si="5">COUNTIF(AL67:AQ67, "&lt;&gt;")</f>
        <v>3</v>
      </c>
      <c r="G67" s="2" t="s">
        <v>5</v>
      </c>
      <c r="H67" s="2" t="s">
        <v>5</v>
      </c>
      <c r="I67" s="2" t="s">
        <v>5</v>
      </c>
      <c r="J67" s="2" t="s">
        <v>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790</v>
      </c>
      <c r="AC67" s="2" t="s">
        <v>5</v>
      </c>
      <c r="AD67" s="2" t="s">
        <v>5</v>
      </c>
      <c r="AE67" s="2" t="s">
        <v>5</v>
      </c>
      <c r="AF67" s="2" t="s">
        <v>5</v>
      </c>
      <c r="AG67" s="2" t="s">
        <v>5</v>
      </c>
      <c r="AH67" s="2" t="s">
        <v>5</v>
      </c>
      <c r="AI67" s="2" t="s">
        <v>5</v>
      </c>
      <c r="AJ67" s="2" t="s">
        <v>5</v>
      </c>
      <c r="AK67" s="2" t="s">
        <v>5</v>
      </c>
      <c r="AL67" s="8" t="s">
        <v>5</v>
      </c>
      <c r="AM67" s="8" t="s">
        <v>5</v>
      </c>
      <c r="AN67" s="8" t="s">
        <v>5</v>
      </c>
      <c r="AO67" s="8"/>
      <c r="AP67" s="8"/>
      <c r="AQ67" s="8"/>
    </row>
    <row r="68" spans="1:43">
      <c r="A68" s="2" t="s">
        <v>103</v>
      </c>
      <c r="B68" s="3" t="s">
        <v>202</v>
      </c>
      <c r="C68" s="2" t="s">
        <v>104</v>
      </c>
      <c r="D68" s="2">
        <f t="shared" si="3"/>
        <v>14</v>
      </c>
      <c r="E68" s="2">
        <f t="shared" si="4"/>
        <v>17</v>
      </c>
      <c r="F68" s="2">
        <f t="shared" si="5"/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>
        <v>746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 t="s">
        <v>5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/>
      <c r="AF68" s="2"/>
      <c r="AG68" s="2"/>
      <c r="AH68" s="2"/>
      <c r="AI68" s="2"/>
      <c r="AJ68" s="2"/>
      <c r="AK68" s="2"/>
      <c r="AL68" s="8"/>
      <c r="AM68" s="8"/>
      <c r="AN68" s="8"/>
      <c r="AO68" s="8"/>
      <c r="AP68" s="8"/>
      <c r="AQ68" s="8"/>
    </row>
    <row r="69" spans="1:43">
      <c r="A69" s="2" t="s">
        <v>105</v>
      </c>
      <c r="B69" s="3" t="s">
        <v>202</v>
      </c>
      <c r="C69" s="2" t="s">
        <v>106</v>
      </c>
      <c r="D69" s="2">
        <f t="shared" si="3"/>
        <v>14</v>
      </c>
      <c r="E69" s="2">
        <f t="shared" si="4"/>
        <v>17</v>
      </c>
      <c r="F69" s="2">
        <f t="shared" si="5"/>
        <v>2</v>
      </c>
      <c r="G69" s="2" t="s">
        <v>5</v>
      </c>
      <c r="H69" s="2" t="s">
        <v>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784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5</v>
      </c>
      <c r="AF69" s="2" t="s">
        <v>5</v>
      </c>
      <c r="AG69" s="2" t="s">
        <v>5</v>
      </c>
      <c r="AH69" s="2" t="s">
        <v>5</v>
      </c>
      <c r="AI69" s="2" t="s">
        <v>5</v>
      </c>
      <c r="AJ69" s="2" t="s">
        <v>5</v>
      </c>
      <c r="AK69" s="2" t="s">
        <v>5</v>
      </c>
      <c r="AL69" s="8" t="s">
        <v>5</v>
      </c>
      <c r="AM69" s="8" t="s">
        <v>5</v>
      </c>
      <c r="AN69" s="8"/>
      <c r="AO69" s="8"/>
      <c r="AP69" s="8"/>
      <c r="AQ69" s="8"/>
    </row>
    <row r="70" spans="1:43">
      <c r="A70" s="2" t="s">
        <v>133</v>
      </c>
      <c r="B70" s="3" t="s">
        <v>202</v>
      </c>
      <c r="C70" s="2" t="s">
        <v>134</v>
      </c>
      <c r="D70" s="2">
        <f t="shared" si="3"/>
        <v>14</v>
      </c>
      <c r="E70" s="2">
        <f t="shared" si="4"/>
        <v>17</v>
      </c>
      <c r="F70" s="2">
        <f t="shared" si="5"/>
        <v>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>
        <v>751</v>
      </c>
      <c r="T70" s="2" t="s">
        <v>5</v>
      </c>
      <c r="U70" s="2" t="s">
        <v>5</v>
      </c>
      <c r="V70" s="2" t="s">
        <v>5</v>
      </c>
      <c r="W70" s="2" t="s">
        <v>5</v>
      </c>
      <c r="X70" s="2" t="s">
        <v>5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5</v>
      </c>
      <c r="AF70" s="2" t="s">
        <v>5</v>
      </c>
      <c r="AG70" s="2"/>
      <c r="AH70" s="2"/>
      <c r="AI70" s="2"/>
      <c r="AJ70" s="2"/>
      <c r="AK70" s="2"/>
      <c r="AL70" s="8"/>
      <c r="AM70" s="8"/>
      <c r="AN70" s="8"/>
      <c r="AO70" s="8"/>
      <c r="AP70" s="8"/>
      <c r="AQ70" s="8"/>
    </row>
    <row r="71" spans="1:43">
      <c r="A71" s="2" t="s">
        <v>145</v>
      </c>
      <c r="B71" s="3" t="s">
        <v>202</v>
      </c>
      <c r="C71" s="2" t="s">
        <v>75</v>
      </c>
      <c r="D71" s="2">
        <f t="shared" si="3"/>
        <v>14</v>
      </c>
      <c r="E71" s="2">
        <f t="shared" si="4"/>
        <v>17</v>
      </c>
      <c r="F71" s="2">
        <f t="shared" si="5"/>
        <v>0</v>
      </c>
      <c r="G71" s="2" t="s">
        <v>5</v>
      </c>
      <c r="H71" s="2" t="s">
        <v>5</v>
      </c>
      <c r="I71" s="2" t="s">
        <v>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>
        <v>788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</v>
      </c>
      <c r="AH71" s="2" t="s">
        <v>5</v>
      </c>
      <c r="AI71" s="2" t="s">
        <v>5</v>
      </c>
      <c r="AJ71" s="2" t="s">
        <v>5</v>
      </c>
      <c r="AK71" s="2" t="s">
        <v>5</v>
      </c>
      <c r="AL71" s="8"/>
      <c r="AM71" s="8"/>
      <c r="AN71" s="8"/>
      <c r="AO71" s="8"/>
      <c r="AP71" s="8"/>
      <c r="AQ71" s="8"/>
    </row>
    <row r="72" spans="1:43">
      <c r="A72" s="2" t="s">
        <v>146</v>
      </c>
      <c r="B72" s="3" t="s">
        <v>202</v>
      </c>
      <c r="C72" s="2" t="s">
        <v>147</v>
      </c>
      <c r="D72" s="2">
        <f t="shared" si="3"/>
        <v>14</v>
      </c>
      <c r="E72" s="2">
        <f t="shared" si="4"/>
        <v>17</v>
      </c>
      <c r="F72" s="2">
        <f t="shared" si="5"/>
        <v>0</v>
      </c>
      <c r="G72" s="2">
        <v>703</v>
      </c>
      <c r="H72" s="2" t="s">
        <v>5</v>
      </c>
      <c r="I72" s="2" t="s">
        <v>5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5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8"/>
      <c r="AM72" s="8"/>
      <c r="AN72" s="8"/>
      <c r="AO72" s="8"/>
      <c r="AP72" s="8"/>
      <c r="AQ72" s="8"/>
    </row>
    <row r="73" spans="1:43">
      <c r="A73" s="2" t="s">
        <v>154</v>
      </c>
      <c r="B73" s="3" t="s">
        <v>202</v>
      </c>
      <c r="C73" s="2" t="s">
        <v>155</v>
      </c>
      <c r="D73" s="2">
        <f t="shared" si="3"/>
        <v>14</v>
      </c>
      <c r="E73" s="2">
        <f t="shared" si="4"/>
        <v>17</v>
      </c>
      <c r="F73" s="2">
        <f t="shared" si="5"/>
        <v>2</v>
      </c>
      <c r="G73" s="2" t="s">
        <v>5</v>
      </c>
      <c r="H73" s="2" t="s">
        <v>5</v>
      </c>
      <c r="I73" s="2" t="s">
        <v>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>
        <v>785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5</v>
      </c>
      <c r="AH73" s="2" t="s">
        <v>5</v>
      </c>
      <c r="AI73" s="2" t="s">
        <v>5</v>
      </c>
      <c r="AJ73" s="2" t="s">
        <v>5</v>
      </c>
      <c r="AK73" s="2" t="s">
        <v>5</v>
      </c>
      <c r="AL73" s="8" t="s">
        <v>5</v>
      </c>
      <c r="AM73" s="8" t="s">
        <v>5</v>
      </c>
      <c r="AN73" s="8"/>
      <c r="AO73" s="8"/>
      <c r="AP73" s="8"/>
      <c r="AQ73" s="8"/>
    </row>
    <row r="74" spans="1:43">
      <c r="A74" s="2" t="s">
        <v>160</v>
      </c>
      <c r="B74" s="3" t="s">
        <v>202</v>
      </c>
      <c r="C74" s="2" t="s">
        <v>161</v>
      </c>
      <c r="D74" s="2">
        <f t="shared" si="3"/>
        <v>14</v>
      </c>
      <c r="E74" s="2">
        <f t="shared" si="4"/>
        <v>17</v>
      </c>
      <c r="F74" s="2">
        <f t="shared" si="5"/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>
        <v>749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/>
      <c r="AG74" s="2"/>
      <c r="AH74" s="2"/>
      <c r="AI74" s="2"/>
      <c r="AJ74" s="2"/>
      <c r="AK74" s="2"/>
      <c r="AL74" s="8"/>
      <c r="AM74" s="8"/>
      <c r="AN74" s="8"/>
      <c r="AO74" s="8"/>
      <c r="AP74" s="8"/>
      <c r="AQ74" s="8"/>
    </row>
    <row r="75" spans="1:43">
      <c r="A75" s="2" t="s">
        <v>162</v>
      </c>
      <c r="B75" s="3" t="s">
        <v>202</v>
      </c>
      <c r="C75" s="2" t="s">
        <v>163</v>
      </c>
      <c r="D75" s="2">
        <f t="shared" si="3"/>
        <v>14</v>
      </c>
      <c r="E75" s="2">
        <f t="shared" si="4"/>
        <v>17</v>
      </c>
      <c r="F75" s="2">
        <f t="shared" si="5"/>
        <v>3</v>
      </c>
      <c r="G75" s="2"/>
      <c r="H75" s="2" t="s">
        <v>5</v>
      </c>
      <c r="I75" s="2">
        <v>717</v>
      </c>
      <c r="J75" s="2" t="s">
        <v>5</v>
      </c>
      <c r="K75" s="2" t="s">
        <v>5</v>
      </c>
      <c r="L75" s="2" t="s">
        <v>5</v>
      </c>
      <c r="M75" s="2" t="s">
        <v>5</v>
      </c>
      <c r="N75" s="2" t="s">
        <v>5</v>
      </c>
      <c r="O75" s="2" t="s">
        <v>5</v>
      </c>
      <c r="P75" s="2" t="s">
        <v>5</v>
      </c>
      <c r="Q75" s="2" t="s">
        <v>5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>
        <v>807</v>
      </c>
      <c r="AI75" s="2" t="s">
        <v>5</v>
      </c>
      <c r="AJ75" s="2" t="s">
        <v>5</v>
      </c>
      <c r="AK75" s="2" t="s">
        <v>5</v>
      </c>
      <c r="AL75" s="8" t="s">
        <v>5</v>
      </c>
      <c r="AM75" s="8" t="s">
        <v>5</v>
      </c>
      <c r="AN75" s="8" t="s">
        <v>5</v>
      </c>
      <c r="AO75" s="8"/>
      <c r="AP75" s="8"/>
      <c r="AQ75" s="8"/>
    </row>
    <row r="76" spans="1:43">
      <c r="A76" s="2" t="s">
        <v>168</v>
      </c>
      <c r="B76" s="3" t="s">
        <v>202</v>
      </c>
      <c r="C76" s="2" t="s">
        <v>169</v>
      </c>
      <c r="D76" s="2">
        <f t="shared" si="3"/>
        <v>14</v>
      </c>
      <c r="E76" s="2">
        <f t="shared" si="4"/>
        <v>17</v>
      </c>
      <c r="F76" s="2">
        <f t="shared" si="5"/>
        <v>0</v>
      </c>
      <c r="G76" s="2"/>
      <c r="H76" s="2"/>
      <c r="I76" s="2"/>
      <c r="J76" s="2"/>
      <c r="K76" s="2">
        <v>735</v>
      </c>
      <c r="L76" s="2" t="s">
        <v>5</v>
      </c>
      <c r="M76" s="2" t="s">
        <v>5</v>
      </c>
      <c r="N76" s="2" t="s">
        <v>5</v>
      </c>
      <c r="O76" s="2" t="s">
        <v>5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 t="s">
        <v>5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8"/>
      <c r="AM76" s="8"/>
      <c r="AN76" s="8"/>
      <c r="AO76" s="8"/>
      <c r="AP76" s="8"/>
      <c r="AQ76" s="8"/>
    </row>
    <row r="77" spans="1:43">
      <c r="A77" s="2" t="s">
        <v>177</v>
      </c>
      <c r="B77" s="3" t="s">
        <v>202</v>
      </c>
      <c r="C77" s="2" t="s">
        <v>178</v>
      </c>
      <c r="D77" s="2">
        <f t="shared" si="3"/>
        <v>14</v>
      </c>
      <c r="E77" s="2">
        <f t="shared" si="4"/>
        <v>17</v>
      </c>
      <c r="F77" s="2">
        <f t="shared" si="5"/>
        <v>0</v>
      </c>
      <c r="G77" s="2" t="s">
        <v>5</v>
      </c>
      <c r="H77" s="2" t="s">
        <v>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782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</v>
      </c>
      <c r="AH77" s="2" t="s">
        <v>5</v>
      </c>
      <c r="AI77" s="2" t="s">
        <v>5</v>
      </c>
      <c r="AJ77" s="2" t="s">
        <v>5</v>
      </c>
      <c r="AK77" s="2" t="s">
        <v>5</v>
      </c>
      <c r="AL77" s="8"/>
      <c r="AM77" s="8"/>
      <c r="AN77" s="8"/>
      <c r="AO77" s="8"/>
      <c r="AP77" s="8"/>
      <c r="AQ77" s="8"/>
    </row>
    <row r="78" spans="1:43">
      <c r="A78" s="2" t="s">
        <v>152</v>
      </c>
      <c r="B78" s="7" t="s">
        <v>203</v>
      </c>
      <c r="C78" s="2" t="s">
        <v>153</v>
      </c>
      <c r="D78" s="2">
        <f t="shared" si="3"/>
        <v>16</v>
      </c>
      <c r="E78" s="2">
        <f t="shared" si="4"/>
        <v>15</v>
      </c>
      <c r="F78" s="2">
        <f t="shared" si="5"/>
        <v>0</v>
      </c>
      <c r="G78" s="2"/>
      <c r="H78" s="2"/>
      <c r="I78" s="2"/>
      <c r="J78" s="2"/>
      <c r="K78" s="2"/>
      <c r="L78" s="2"/>
      <c r="M78" s="2"/>
      <c r="N78" s="2"/>
      <c r="O78" s="2">
        <v>744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/>
      <c r="AF78" s="2"/>
      <c r="AG78" s="2"/>
      <c r="AH78" s="2"/>
      <c r="AI78" s="2"/>
      <c r="AJ78" s="2"/>
      <c r="AK78" s="2"/>
      <c r="AL78" s="8"/>
      <c r="AM78" s="8"/>
      <c r="AN78" s="8"/>
      <c r="AO78" s="8"/>
      <c r="AP78" s="8"/>
      <c r="AQ78" s="8"/>
    </row>
    <row r="79" spans="1:43">
      <c r="A79" s="2" t="s">
        <v>43</v>
      </c>
      <c r="B79" s="7" t="s">
        <v>203</v>
      </c>
      <c r="C79" s="2" t="s">
        <v>44</v>
      </c>
      <c r="D79" s="2">
        <f t="shared" si="3"/>
        <v>15</v>
      </c>
      <c r="E79" s="2">
        <f t="shared" si="4"/>
        <v>16</v>
      </c>
      <c r="F79" s="2">
        <f t="shared" si="5"/>
        <v>0</v>
      </c>
      <c r="G79" s="2"/>
      <c r="H79" s="2"/>
      <c r="I79" s="2">
        <v>719</v>
      </c>
      <c r="J79" s="2" t="s">
        <v>5</v>
      </c>
      <c r="K79" s="2" t="s">
        <v>5</v>
      </c>
      <c r="L79" s="2" t="s">
        <v>5</v>
      </c>
      <c r="M79" s="2" t="s">
        <v>5</v>
      </c>
      <c r="N79" s="2" t="s">
        <v>5</v>
      </c>
      <c r="O79" s="2" t="s">
        <v>5</v>
      </c>
      <c r="P79" s="2" t="s">
        <v>5</v>
      </c>
      <c r="Q79" s="2" t="s">
        <v>5</v>
      </c>
      <c r="R79" s="2" t="s">
        <v>5</v>
      </c>
      <c r="S79" s="2" t="s">
        <v>5</v>
      </c>
      <c r="T79" s="2" t="s">
        <v>5</v>
      </c>
      <c r="U79" s="2" t="s">
        <v>5</v>
      </c>
      <c r="V79" s="2" t="s">
        <v>5</v>
      </c>
      <c r="W79" s="2" t="s">
        <v>5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8"/>
      <c r="AM79" s="8"/>
      <c r="AN79" s="8"/>
      <c r="AO79" s="8"/>
      <c r="AP79" s="8"/>
      <c r="AQ79" s="8"/>
    </row>
    <row r="80" spans="1:43">
      <c r="A80" s="2" t="s">
        <v>45</v>
      </c>
      <c r="B80" s="7" t="s">
        <v>203</v>
      </c>
      <c r="C80" s="2" t="s">
        <v>46</v>
      </c>
      <c r="D80" s="2">
        <f t="shared" si="3"/>
        <v>15</v>
      </c>
      <c r="E80" s="2">
        <f t="shared" si="4"/>
        <v>16</v>
      </c>
      <c r="F80" s="2">
        <f t="shared" si="5"/>
        <v>6</v>
      </c>
      <c r="G80" s="2"/>
      <c r="H80" s="2">
        <v>712</v>
      </c>
      <c r="I80" s="2" t="s">
        <v>5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5</v>
      </c>
      <c r="P80" s="2" t="s">
        <v>5</v>
      </c>
      <c r="Q80" s="2" t="s">
        <v>5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>
        <v>800</v>
      </c>
      <c r="AH80" s="2" t="s">
        <v>5</v>
      </c>
      <c r="AI80" s="2" t="s">
        <v>5</v>
      </c>
      <c r="AJ80" s="2" t="s">
        <v>5</v>
      </c>
      <c r="AK80" s="2" t="s">
        <v>5</v>
      </c>
      <c r="AL80" s="8" t="s">
        <v>5</v>
      </c>
      <c r="AM80" s="8" t="s">
        <v>5</v>
      </c>
      <c r="AN80" s="8" t="s">
        <v>5</v>
      </c>
      <c r="AO80" s="8" t="s">
        <v>5</v>
      </c>
      <c r="AP80" s="8" t="s">
        <v>5</v>
      </c>
      <c r="AQ80" s="8" t="s">
        <v>5</v>
      </c>
    </row>
    <row r="81" spans="1:43">
      <c r="A81" s="2" t="s">
        <v>99</v>
      </c>
      <c r="B81" s="7" t="s">
        <v>203</v>
      </c>
      <c r="C81" s="2" t="s">
        <v>100</v>
      </c>
      <c r="D81" s="2">
        <f t="shared" si="3"/>
        <v>15</v>
      </c>
      <c r="E81" s="2">
        <f t="shared" si="4"/>
        <v>16</v>
      </c>
      <c r="F81" s="2">
        <f t="shared" si="5"/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>
        <v>762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5</v>
      </c>
      <c r="AF81" s="2" t="s">
        <v>5</v>
      </c>
      <c r="AG81" s="2" t="s">
        <v>5</v>
      </c>
      <c r="AH81" s="2" t="s">
        <v>5</v>
      </c>
      <c r="AI81" s="2" t="s">
        <v>5</v>
      </c>
      <c r="AJ81" s="2" t="s">
        <v>5</v>
      </c>
      <c r="AK81" s="2" t="s">
        <v>5</v>
      </c>
      <c r="AL81" s="8" t="s">
        <v>5</v>
      </c>
      <c r="AM81" s="8"/>
      <c r="AN81" s="8"/>
      <c r="AO81" s="8"/>
      <c r="AP81" s="8"/>
      <c r="AQ81" s="8"/>
    </row>
    <row r="82" spans="1:43">
      <c r="A82" s="2" t="s">
        <v>107</v>
      </c>
      <c r="B82" s="7" t="s">
        <v>203</v>
      </c>
      <c r="C82" s="2" t="s">
        <v>108</v>
      </c>
      <c r="D82" s="2">
        <f t="shared" si="3"/>
        <v>15</v>
      </c>
      <c r="E82" s="2">
        <f t="shared" si="4"/>
        <v>16</v>
      </c>
      <c r="F82" s="2">
        <f t="shared" si="5"/>
        <v>0</v>
      </c>
      <c r="G82" s="2"/>
      <c r="H82" s="2"/>
      <c r="I82" s="2"/>
      <c r="J82" s="2">
        <v>724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5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 t="s">
        <v>5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8"/>
      <c r="AM82" s="8"/>
      <c r="AN82" s="8"/>
      <c r="AO82" s="8"/>
      <c r="AP82" s="8"/>
      <c r="AQ82" s="8"/>
    </row>
    <row r="83" spans="1:43">
      <c r="A83" s="2" t="s">
        <v>109</v>
      </c>
      <c r="B83" s="7" t="s">
        <v>203</v>
      </c>
      <c r="C83" s="2" t="s">
        <v>60</v>
      </c>
      <c r="D83" s="2">
        <f t="shared" si="3"/>
        <v>15</v>
      </c>
      <c r="E83" s="2">
        <f t="shared" si="4"/>
        <v>16</v>
      </c>
      <c r="F83" s="2">
        <f t="shared" si="5"/>
        <v>0</v>
      </c>
      <c r="G83" s="2" t="s">
        <v>5</v>
      </c>
      <c r="H83" s="2">
        <v>711</v>
      </c>
      <c r="I83" s="2" t="s">
        <v>5</v>
      </c>
      <c r="J83" s="2" t="s">
        <v>5</v>
      </c>
      <c r="K83" s="2" t="s">
        <v>5</v>
      </c>
      <c r="L83" s="2" t="s">
        <v>5</v>
      </c>
      <c r="M83" s="2" t="s">
        <v>5</v>
      </c>
      <c r="N83" s="2" t="s">
        <v>5</v>
      </c>
      <c r="O83" s="2" t="s">
        <v>5</v>
      </c>
      <c r="P83" s="2" t="s">
        <v>5</v>
      </c>
      <c r="Q83" s="2" t="s">
        <v>5</v>
      </c>
      <c r="R83" s="2" t="s">
        <v>5</v>
      </c>
      <c r="S83" s="2" t="s">
        <v>5</v>
      </c>
      <c r="T83" s="2" t="s">
        <v>5</v>
      </c>
      <c r="U83" s="2" t="s">
        <v>5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8"/>
      <c r="AM83" s="8"/>
      <c r="AN83" s="8"/>
      <c r="AO83" s="8"/>
      <c r="AP83" s="8"/>
      <c r="AQ83" s="8"/>
    </row>
    <row r="84" spans="1:43">
      <c r="A84" s="2" t="s">
        <v>110</v>
      </c>
      <c r="B84" s="7" t="s">
        <v>203</v>
      </c>
      <c r="C84" s="2" t="s">
        <v>111</v>
      </c>
      <c r="D84" s="2">
        <f t="shared" si="3"/>
        <v>15</v>
      </c>
      <c r="E84" s="2">
        <f t="shared" si="4"/>
        <v>16</v>
      </c>
      <c r="F84" s="2">
        <f t="shared" si="5"/>
        <v>0</v>
      </c>
      <c r="G84" s="2">
        <v>704</v>
      </c>
      <c r="H84" s="2" t="s">
        <v>5</v>
      </c>
      <c r="I84" s="2" t="s">
        <v>5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5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8"/>
      <c r="AM84" s="8"/>
      <c r="AN84" s="8"/>
      <c r="AO84" s="8"/>
      <c r="AP84" s="8"/>
      <c r="AQ84" s="8"/>
    </row>
    <row r="85" spans="1:43">
      <c r="A85" s="2" t="s">
        <v>114</v>
      </c>
      <c r="B85" s="7" t="s">
        <v>203</v>
      </c>
      <c r="C85" s="2" t="s">
        <v>115</v>
      </c>
      <c r="D85" s="2">
        <f t="shared" si="3"/>
        <v>15</v>
      </c>
      <c r="E85" s="2">
        <f t="shared" si="4"/>
        <v>16</v>
      </c>
      <c r="F85" s="2">
        <f t="shared" si="5"/>
        <v>0</v>
      </c>
      <c r="G85" s="2">
        <v>705</v>
      </c>
      <c r="H85" s="2" t="s">
        <v>5</v>
      </c>
      <c r="I85" s="2" t="s">
        <v>5</v>
      </c>
      <c r="J85" s="2" t="s">
        <v>5</v>
      </c>
      <c r="K85" s="2" t="s">
        <v>5</v>
      </c>
      <c r="L85" s="2" t="s">
        <v>5</v>
      </c>
      <c r="M85" s="2" t="s">
        <v>5</v>
      </c>
      <c r="N85" s="2" t="s">
        <v>5</v>
      </c>
      <c r="O85" s="2" t="s">
        <v>5</v>
      </c>
      <c r="P85" s="2" t="s">
        <v>5</v>
      </c>
      <c r="Q85" s="2" t="s">
        <v>5</v>
      </c>
      <c r="R85" s="2" t="s">
        <v>5</v>
      </c>
      <c r="S85" s="2" t="s">
        <v>5</v>
      </c>
      <c r="T85" s="2" t="s">
        <v>5</v>
      </c>
      <c r="U85" s="2" t="s">
        <v>5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8"/>
      <c r="AM85" s="8"/>
      <c r="AN85" s="8"/>
      <c r="AO85" s="8"/>
      <c r="AP85" s="8"/>
      <c r="AQ85" s="8"/>
    </row>
    <row r="86" spans="1:43">
      <c r="A86" s="2" t="s">
        <v>116</v>
      </c>
      <c r="B86" s="7" t="s">
        <v>203</v>
      </c>
      <c r="C86" s="2" t="s">
        <v>102</v>
      </c>
      <c r="D86" s="2">
        <f t="shared" si="3"/>
        <v>15</v>
      </c>
      <c r="E86" s="2">
        <f t="shared" si="4"/>
        <v>16</v>
      </c>
      <c r="F86" s="2">
        <f t="shared" si="5"/>
        <v>0</v>
      </c>
      <c r="G86" s="2"/>
      <c r="H86" s="2"/>
      <c r="I86" s="2">
        <v>723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5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8"/>
      <c r="AM86" s="8"/>
      <c r="AN86" s="8"/>
      <c r="AO86" s="8"/>
      <c r="AP86" s="8"/>
      <c r="AQ86" s="8"/>
    </row>
    <row r="87" spans="1:43">
      <c r="A87" s="2" t="s">
        <v>129</v>
      </c>
      <c r="B87" s="7" t="s">
        <v>203</v>
      </c>
      <c r="C87" s="2" t="s">
        <v>130</v>
      </c>
      <c r="D87" s="2">
        <f t="shared" si="3"/>
        <v>15</v>
      </c>
      <c r="E87" s="2">
        <f t="shared" si="4"/>
        <v>16</v>
      </c>
      <c r="F87" s="2">
        <f t="shared" si="5"/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>
        <v>765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</v>
      </c>
      <c r="AF87" s="2" t="s">
        <v>5</v>
      </c>
      <c r="AG87" s="2" t="s">
        <v>5</v>
      </c>
      <c r="AH87" s="2" t="s">
        <v>5</v>
      </c>
      <c r="AI87" s="2" t="s">
        <v>5</v>
      </c>
      <c r="AJ87" s="2" t="s">
        <v>5</v>
      </c>
      <c r="AK87" s="2" t="s">
        <v>5</v>
      </c>
      <c r="AL87" s="8" t="s">
        <v>5</v>
      </c>
      <c r="AM87" s="8"/>
      <c r="AN87" s="8"/>
      <c r="AO87" s="8"/>
      <c r="AP87" s="8"/>
      <c r="AQ87" s="8"/>
    </row>
    <row r="88" spans="1:43">
      <c r="A88" s="2" t="s">
        <v>139</v>
      </c>
      <c r="B88" s="7" t="s">
        <v>203</v>
      </c>
      <c r="C88" s="2" t="s">
        <v>140</v>
      </c>
      <c r="D88" s="2">
        <f t="shared" si="3"/>
        <v>15</v>
      </c>
      <c r="E88" s="2">
        <f t="shared" si="4"/>
        <v>16</v>
      </c>
      <c r="F88" s="2">
        <f t="shared" si="5"/>
        <v>0</v>
      </c>
      <c r="G88" s="2"/>
      <c r="H88" s="2"/>
      <c r="I88" s="2"/>
      <c r="J88" s="2"/>
      <c r="K88" s="2"/>
      <c r="L88" s="2"/>
      <c r="M88" s="2"/>
      <c r="N88" s="2" t="s">
        <v>5</v>
      </c>
      <c r="O88" s="2">
        <v>743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/>
      <c r="AD88" s="2"/>
      <c r="AE88" s="2"/>
      <c r="AF88" s="2"/>
      <c r="AG88" s="2"/>
      <c r="AH88" s="2"/>
      <c r="AI88" s="2"/>
      <c r="AJ88" s="2"/>
      <c r="AK88" s="2"/>
      <c r="AL88" s="8"/>
      <c r="AM88" s="8"/>
      <c r="AN88" s="8"/>
      <c r="AO88" s="8"/>
      <c r="AP88" s="8"/>
      <c r="AQ88" s="8"/>
    </row>
    <row r="89" spans="1:43">
      <c r="A89" s="2" t="s">
        <v>148</v>
      </c>
      <c r="B89" s="7" t="s">
        <v>203</v>
      </c>
      <c r="C89" s="2" t="s">
        <v>149</v>
      </c>
      <c r="D89" s="2">
        <f t="shared" si="3"/>
        <v>15</v>
      </c>
      <c r="E89" s="2">
        <f t="shared" si="4"/>
        <v>16</v>
      </c>
      <c r="F89" s="2">
        <f t="shared" si="5"/>
        <v>0</v>
      </c>
      <c r="G89" s="2"/>
      <c r="H89" s="2"/>
      <c r="I89" s="2"/>
      <c r="J89" s="2"/>
      <c r="K89" s="2"/>
      <c r="L89" s="2"/>
      <c r="M89" s="2"/>
      <c r="N89" s="2"/>
      <c r="O89" s="2"/>
      <c r="P89" s="2" t="s">
        <v>5</v>
      </c>
      <c r="Q89" s="2">
        <v>745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/>
      <c r="AF89" s="2"/>
      <c r="AG89" s="2"/>
      <c r="AH89" s="2"/>
      <c r="AI89" s="2"/>
      <c r="AJ89" s="2"/>
      <c r="AK89" s="2"/>
      <c r="AL89" s="8"/>
      <c r="AM89" s="8"/>
      <c r="AN89" s="8"/>
      <c r="AO89" s="8"/>
      <c r="AP89" s="8"/>
      <c r="AQ89" s="8"/>
    </row>
    <row r="90" spans="1:43">
      <c r="A90" s="2" t="s">
        <v>156</v>
      </c>
      <c r="B90" s="7" t="s">
        <v>203</v>
      </c>
      <c r="C90" s="2" t="s">
        <v>157</v>
      </c>
      <c r="D90" s="2">
        <f t="shared" si="3"/>
        <v>15</v>
      </c>
      <c r="E90" s="2">
        <f t="shared" si="4"/>
        <v>16</v>
      </c>
      <c r="F90" s="2">
        <f t="shared" si="5"/>
        <v>0</v>
      </c>
      <c r="G90" s="2"/>
      <c r="H90" s="2">
        <v>714</v>
      </c>
      <c r="I90" s="2" t="s">
        <v>5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5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8"/>
      <c r="AM90" s="8"/>
      <c r="AN90" s="8"/>
      <c r="AO90" s="8"/>
      <c r="AP90" s="8"/>
      <c r="AQ90" s="8"/>
    </row>
    <row r="91" spans="1:43">
      <c r="A91" s="2" t="s">
        <v>158</v>
      </c>
      <c r="B91" s="7" t="s">
        <v>203</v>
      </c>
      <c r="C91" s="2" t="s">
        <v>159</v>
      </c>
      <c r="D91" s="2">
        <f t="shared" si="3"/>
        <v>15</v>
      </c>
      <c r="E91" s="2">
        <f t="shared" si="4"/>
        <v>16</v>
      </c>
      <c r="F91" s="2">
        <f t="shared" si="5"/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>
        <v>767</v>
      </c>
      <c r="X91" s="2" t="s">
        <v>5</v>
      </c>
      <c r="Y91" s="2" t="s">
        <v>5</v>
      </c>
      <c r="Z91" s="2" t="s">
        <v>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5</v>
      </c>
      <c r="AF91" s="2" t="s">
        <v>5</v>
      </c>
      <c r="AG91" s="2" t="s">
        <v>5</v>
      </c>
      <c r="AH91" s="2" t="s">
        <v>5</v>
      </c>
      <c r="AI91" s="2" t="s">
        <v>5</v>
      </c>
      <c r="AJ91" s="2" t="s">
        <v>5</v>
      </c>
      <c r="AK91" s="2" t="s">
        <v>5</v>
      </c>
      <c r="AL91" s="8" t="s">
        <v>5</v>
      </c>
      <c r="AM91" s="8"/>
      <c r="AN91" s="8"/>
      <c r="AO91" s="8"/>
      <c r="AP91" s="8"/>
      <c r="AQ91" s="8"/>
    </row>
    <row r="92" spans="1:43">
      <c r="A92" s="2" t="s">
        <v>29</v>
      </c>
      <c r="B92" s="7" t="s">
        <v>203</v>
      </c>
      <c r="C92" s="2" t="s">
        <v>30</v>
      </c>
      <c r="D92" s="2">
        <f t="shared" si="3"/>
        <v>16</v>
      </c>
      <c r="E92" s="2">
        <f t="shared" si="4"/>
        <v>15</v>
      </c>
      <c r="F92" s="2">
        <f t="shared" si="5"/>
        <v>3</v>
      </c>
      <c r="G92" s="2">
        <v>701</v>
      </c>
      <c r="H92" s="2" t="s">
        <v>5</v>
      </c>
      <c r="I92" s="2" t="s">
        <v>5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5</v>
      </c>
      <c r="P92" s="2" t="s">
        <v>5</v>
      </c>
      <c r="Q92" s="2" t="s">
        <v>5</v>
      </c>
      <c r="R92" s="2" t="s">
        <v>5</v>
      </c>
      <c r="S92" s="2" t="s">
        <v>5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s">
        <v>5</v>
      </c>
      <c r="AJ92" s="2">
        <v>803</v>
      </c>
      <c r="AK92" s="2" t="s">
        <v>5</v>
      </c>
      <c r="AL92" s="8" t="s">
        <v>5</v>
      </c>
      <c r="AM92" s="8" t="s">
        <v>5</v>
      </c>
      <c r="AN92" s="8" t="s">
        <v>5</v>
      </c>
      <c r="AO92" s="8"/>
      <c r="AP92" s="8"/>
      <c r="AQ92" s="8"/>
    </row>
    <row r="93" spans="1:43">
      <c r="A93" s="2" t="s">
        <v>166</v>
      </c>
      <c r="B93" s="7" t="s">
        <v>203</v>
      </c>
      <c r="C93" s="2" t="s">
        <v>167</v>
      </c>
      <c r="D93" s="2">
        <f t="shared" si="3"/>
        <v>15</v>
      </c>
      <c r="E93" s="2">
        <f t="shared" si="4"/>
        <v>16</v>
      </c>
      <c r="F93" s="2">
        <f t="shared" si="5"/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>
        <v>758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5</v>
      </c>
      <c r="AF93" s="2" t="s">
        <v>5</v>
      </c>
      <c r="AG93" s="2" t="s">
        <v>5</v>
      </c>
      <c r="AH93" s="2" t="s">
        <v>5</v>
      </c>
      <c r="AI93" s="2" t="s">
        <v>5</v>
      </c>
      <c r="AJ93" s="2"/>
      <c r="AK93" s="2"/>
      <c r="AL93" s="8"/>
      <c r="AM93" s="8"/>
      <c r="AN93" s="8"/>
      <c r="AO93" s="8"/>
      <c r="AP93" s="8"/>
      <c r="AQ93" s="8"/>
    </row>
    <row r="94" spans="1:43">
      <c r="A94" s="2" t="s">
        <v>21</v>
      </c>
      <c r="B94" s="7" t="s">
        <v>203</v>
      </c>
      <c r="C94" s="2" t="s">
        <v>22</v>
      </c>
      <c r="D94" s="2">
        <f t="shared" si="3"/>
        <v>16</v>
      </c>
      <c r="E94" s="2">
        <f t="shared" si="4"/>
        <v>15</v>
      </c>
      <c r="F94" s="2">
        <f t="shared" si="5"/>
        <v>1</v>
      </c>
      <c r="G94" s="2" t="s">
        <v>5</v>
      </c>
      <c r="H94" s="2" t="s">
        <v>5</v>
      </c>
      <c r="I94" s="2" t="s">
        <v>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>
        <v>779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</v>
      </c>
      <c r="AF94" s="2" t="s">
        <v>5</v>
      </c>
      <c r="AG94" s="2" t="s">
        <v>5</v>
      </c>
      <c r="AH94" s="2" t="s">
        <v>5</v>
      </c>
      <c r="AI94" s="2" t="s">
        <v>5</v>
      </c>
      <c r="AJ94" s="2" t="s">
        <v>5</v>
      </c>
      <c r="AK94" s="2" t="s">
        <v>5</v>
      </c>
      <c r="AL94" s="8" t="s">
        <v>5</v>
      </c>
      <c r="AM94" s="8"/>
      <c r="AN94" s="8"/>
      <c r="AO94" s="8"/>
      <c r="AP94" s="8"/>
      <c r="AQ94" s="8"/>
    </row>
    <row r="95" spans="1:43">
      <c r="A95" s="9" t="s">
        <v>0</v>
      </c>
      <c r="B95" s="9" t="s">
        <v>1</v>
      </c>
      <c r="C95" s="9" t="s">
        <v>2</v>
      </c>
      <c r="D95" s="10">
        <v>46143</v>
      </c>
      <c r="E95" s="10">
        <v>46144</v>
      </c>
      <c r="F95" s="10">
        <v>46145</v>
      </c>
      <c r="G95" s="10">
        <v>46146</v>
      </c>
      <c r="H95" s="10">
        <v>46147</v>
      </c>
      <c r="I95" s="10">
        <v>46148</v>
      </c>
      <c r="J95" s="10">
        <v>46149</v>
      </c>
      <c r="K95" s="10">
        <v>46150</v>
      </c>
      <c r="L95" s="10">
        <v>46151</v>
      </c>
      <c r="M95" s="10">
        <v>46152</v>
      </c>
      <c r="N95" s="10">
        <v>46153</v>
      </c>
      <c r="O95" s="10">
        <v>46154</v>
      </c>
      <c r="P95" s="10">
        <v>46155</v>
      </c>
      <c r="Q95" s="10">
        <v>46156</v>
      </c>
      <c r="R95" s="10">
        <v>46157</v>
      </c>
      <c r="S95" s="10">
        <v>46158</v>
      </c>
      <c r="T95" s="10">
        <v>46159</v>
      </c>
      <c r="U95" s="10">
        <v>46160</v>
      </c>
      <c r="V95" s="10">
        <v>46161</v>
      </c>
      <c r="W95" s="10">
        <v>46162</v>
      </c>
      <c r="X95" s="10">
        <v>46163</v>
      </c>
      <c r="Y95" s="10">
        <v>46164</v>
      </c>
      <c r="Z95" s="10">
        <v>46165</v>
      </c>
      <c r="AA95" s="10">
        <v>46166</v>
      </c>
      <c r="AB95" s="10">
        <v>46167</v>
      </c>
      <c r="AC95" s="10">
        <v>46168</v>
      </c>
      <c r="AD95" s="10">
        <v>46169</v>
      </c>
      <c r="AE95" s="10">
        <v>46170</v>
      </c>
      <c r="AF95" s="10">
        <v>46171</v>
      </c>
      <c r="AG95" s="10">
        <v>46172</v>
      </c>
      <c r="AH95" s="10">
        <v>46173</v>
      </c>
    </row>
    <row r="96" spans="1:43">
      <c r="A96" s="4" t="s">
        <v>182</v>
      </c>
      <c r="B96" s="5" t="s">
        <v>200</v>
      </c>
      <c r="C96" s="2" t="s">
        <v>48</v>
      </c>
      <c r="D96" s="2"/>
      <c r="E96" s="2"/>
      <c r="F96" s="2"/>
      <c r="G96" s="2"/>
      <c r="H96" s="2" t="s">
        <v>5</v>
      </c>
      <c r="I96" s="2" t="s">
        <v>5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5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>
      <c r="A97" s="4" t="s">
        <v>183</v>
      </c>
      <c r="B97" s="5" t="s">
        <v>200</v>
      </c>
      <c r="C97" s="2" t="s">
        <v>48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5</v>
      </c>
      <c r="S97" s="2" t="s">
        <v>5</v>
      </c>
      <c r="T97" s="2" t="s">
        <v>5</v>
      </c>
      <c r="U97" s="2" t="s">
        <v>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</v>
      </c>
      <c r="AF97" s="2" t="s">
        <v>5</v>
      </c>
      <c r="AG97" s="2" t="s">
        <v>5</v>
      </c>
      <c r="AH97" s="2"/>
    </row>
    <row r="98" spans="1:34">
      <c r="A98" s="4" t="s">
        <v>184</v>
      </c>
      <c r="B98" s="5" t="s">
        <v>200</v>
      </c>
      <c r="C98" s="2" t="s">
        <v>48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5</v>
      </c>
      <c r="AF98" s="2" t="s">
        <v>5</v>
      </c>
      <c r="AG98" s="2" t="s">
        <v>5</v>
      </c>
      <c r="AH98" s="2"/>
    </row>
    <row r="99" spans="1:34">
      <c r="A99" s="4" t="s">
        <v>199</v>
      </c>
      <c r="B99" s="3" t="s">
        <v>201</v>
      </c>
      <c r="C99" s="2" t="s">
        <v>48</v>
      </c>
      <c r="D99" s="2"/>
      <c r="E99" s="2" t="s">
        <v>5</v>
      </c>
      <c r="F99" s="2" t="s">
        <v>5</v>
      </c>
      <c r="G99" s="2" t="s">
        <v>5</v>
      </c>
      <c r="H99" s="2" t="s">
        <v>5</v>
      </c>
      <c r="I99" s="2" t="s">
        <v>5</v>
      </c>
      <c r="J99" s="2" t="s">
        <v>5</v>
      </c>
      <c r="K99" s="2" t="s">
        <v>5</v>
      </c>
      <c r="L99" s="2" t="s">
        <v>5</v>
      </c>
      <c r="M99" s="2" t="s">
        <v>5</v>
      </c>
      <c r="N99" s="2" t="s">
        <v>5</v>
      </c>
      <c r="O99" s="2" t="s">
        <v>5</v>
      </c>
      <c r="P99" s="2" t="s">
        <v>5</v>
      </c>
      <c r="Q99" s="2" t="s">
        <v>5</v>
      </c>
      <c r="R99" s="2" t="s">
        <v>5</v>
      </c>
      <c r="S99" s="2" t="s">
        <v>5</v>
      </c>
      <c r="T99" s="2" t="s">
        <v>5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>
      <c r="A100" s="4" t="s">
        <v>198</v>
      </c>
      <c r="B100" s="3" t="s">
        <v>201</v>
      </c>
      <c r="C100" s="2" t="s">
        <v>48</v>
      </c>
      <c r="D100" s="2"/>
      <c r="E100" s="2"/>
      <c r="F100" s="2"/>
      <c r="G100" s="2"/>
      <c r="H100" s="2" t="s">
        <v>5</v>
      </c>
      <c r="I100" s="2" t="s">
        <v>5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5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>
      <c r="A101" s="4" t="s">
        <v>197</v>
      </c>
      <c r="B101" s="3" t="s">
        <v>201</v>
      </c>
      <c r="C101" s="2" t="s">
        <v>48</v>
      </c>
      <c r="D101" s="2"/>
      <c r="E101" s="2"/>
      <c r="F101" s="2"/>
      <c r="G101" s="2"/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2" t="s">
        <v>5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  <c r="W101" s="2" t="s">
        <v>5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>
      <c r="A102" s="4" t="s">
        <v>196</v>
      </c>
      <c r="B102" s="3" t="s">
        <v>201</v>
      </c>
      <c r="C102" s="2" t="s">
        <v>48</v>
      </c>
      <c r="D102" s="2"/>
      <c r="E102" s="2"/>
      <c r="F102" s="2"/>
      <c r="G102" s="2"/>
      <c r="H102" s="2" t="s">
        <v>5</v>
      </c>
      <c r="I102" s="2" t="s">
        <v>5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5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>
      <c r="A103" s="4" t="s">
        <v>195</v>
      </c>
      <c r="B103" s="3" t="s">
        <v>201</v>
      </c>
      <c r="C103" s="2" t="s">
        <v>48</v>
      </c>
      <c r="D103" s="2"/>
      <c r="E103" s="2"/>
      <c r="F103" s="2"/>
      <c r="G103" s="2"/>
      <c r="H103" s="2"/>
      <c r="I103" s="2" t="s">
        <v>5</v>
      </c>
      <c r="J103" s="2" t="s">
        <v>5</v>
      </c>
      <c r="K103" s="2" t="s">
        <v>5</v>
      </c>
      <c r="L103" s="2" t="s">
        <v>5</v>
      </c>
      <c r="M103" s="2" t="s">
        <v>5</v>
      </c>
      <c r="N103" s="2" t="s">
        <v>5</v>
      </c>
      <c r="O103" s="2" t="s">
        <v>5</v>
      </c>
      <c r="P103" s="2" t="s">
        <v>5</v>
      </c>
      <c r="Q103" s="2" t="s">
        <v>5</v>
      </c>
      <c r="R103" s="2" t="s">
        <v>5</v>
      </c>
      <c r="S103" s="2" t="s">
        <v>5</v>
      </c>
      <c r="T103" s="2" t="s">
        <v>5</v>
      </c>
      <c r="U103" s="2" t="s">
        <v>5</v>
      </c>
      <c r="V103" s="2" t="s">
        <v>5</v>
      </c>
      <c r="W103" s="2" t="s">
        <v>5</v>
      </c>
      <c r="X103" s="2" t="s">
        <v>5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>
      <c r="A104" s="4" t="s">
        <v>194</v>
      </c>
      <c r="B104" s="3" t="s">
        <v>201</v>
      </c>
      <c r="C104" s="2" t="s">
        <v>48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</v>
      </c>
      <c r="AF104" s="2" t="s">
        <v>5</v>
      </c>
      <c r="AG104" s="2" t="s">
        <v>5</v>
      </c>
      <c r="AH104" s="2"/>
    </row>
    <row r="105" spans="1:34">
      <c r="A105" s="4" t="s">
        <v>193</v>
      </c>
      <c r="B105" s="3" t="s">
        <v>201</v>
      </c>
      <c r="C105" s="2" t="s">
        <v>48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5</v>
      </c>
      <c r="S105" s="2" t="s">
        <v>5</v>
      </c>
      <c r="T105" s="2" t="s">
        <v>5</v>
      </c>
      <c r="U105" s="2" t="s">
        <v>5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5</v>
      </c>
      <c r="AF105" s="2" t="s">
        <v>5</v>
      </c>
      <c r="AG105" s="2" t="s">
        <v>5</v>
      </c>
      <c r="AH105" s="2"/>
    </row>
    <row r="106" spans="1:34">
      <c r="A106" s="4" t="s">
        <v>192</v>
      </c>
      <c r="B106" s="3" t="s">
        <v>201</v>
      </c>
      <c r="C106" s="2" t="s">
        <v>48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 t="s">
        <v>5</v>
      </c>
      <c r="Y106" s="2" t="s">
        <v>5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</v>
      </c>
      <c r="AF106" s="2" t="s">
        <v>5</v>
      </c>
      <c r="AG106" s="2" t="s">
        <v>5</v>
      </c>
      <c r="AH106" s="2"/>
    </row>
    <row r="107" spans="1:34">
      <c r="A107" s="4" t="s">
        <v>191</v>
      </c>
      <c r="B107" s="3" t="s">
        <v>201</v>
      </c>
      <c r="C107" s="2" t="s">
        <v>48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 t="s">
        <v>5</v>
      </c>
      <c r="S107" s="2" t="s">
        <v>5</v>
      </c>
      <c r="T107" s="2" t="s">
        <v>5</v>
      </c>
      <c r="U107" s="2" t="s">
        <v>5</v>
      </c>
      <c r="V107" s="2" t="s">
        <v>5</v>
      </c>
      <c r="W107" s="2" t="s">
        <v>5</v>
      </c>
      <c r="X107" s="2" t="s">
        <v>5</v>
      </c>
      <c r="Y107" s="2" t="s">
        <v>5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5</v>
      </c>
      <c r="AF107" s="2" t="s">
        <v>5</v>
      </c>
      <c r="AG107" s="2" t="s">
        <v>5</v>
      </c>
      <c r="AH107" s="2"/>
    </row>
    <row r="108" spans="1:34">
      <c r="A108" s="4" t="s">
        <v>190</v>
      </c>
      <c r="B108" s="3" t="s">
        <v>201</v>
      </c>
      <c r="C108" s="2" t="s">
        <v>48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 t="s">
        <v>5</v>
      </c>
      <c r="Y108" s="2" t="s">
        <v>5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5</v>
      </c>
      <c r="AF108" s="2" t="s">
        <v>5</v>
      </c>
      <c r="AG108" s="2" t="s">
        <v>5</v>
      </c>
      <c r="AH108" s="2"/>
    </row>
    <row r="109" spans="1:34">
      <c r="A109" s="4" t="s">
        <v>189</v>
      </c>
      <c r="B109" s="3" t="s">
        <v>201</v>
      </c>
      <c r="C109" s="2" t="s">
        <v>48</v>
      </c>
      <c r="D109" s="2"/>
      <c r="E109" s="2"/>
      <c r="F109" s="2"/>
      <c r="G109" s="2"/>
      <c r="H109" s="2"/>
      <c r="I109" s="2"/>
      <c r="J109" s="2" t="s">
        <v>5</v>
      </c>
      <c r="K109" s="2" t="s">
        <v>5</v>
      </c>
      <c r="L109" s="2" t="s">
        <v>5</v>
      </c>
      <c r="M109" s="2" t="s">
        <v>5</v>
      </c>
      <c r="N109" s="2" t="s">
        <v>5</v>
      </c>
      <c r="O109" s="2" t="s">
        <v>5</v>
      </c>
      <c r="P109" s="2" t="s">
        <v>5</v>
      </c>
      <c r="Q109" s="2" t="s">
        <v>5</v>
      </c>
      <c r="R109" s="2" t="s">
        <v>5</v>
      </c>
      <c r="S109" s="2" t="s">
        <v>5</v>
      </c>
      <c r="T109" s="2" t="s">
        <v>5</v>
      </c>
      <c r="U109" s="2" t="s">
        <v>5</v>
      </c>
      <c r="V109" s="2" t="s">
        <v>5</v>
      </c>
      <c r="W109" s="2" t="s">
        <v>5</v>
      </c>
      <c r="X109" s="2" t="s">
        <v>5</v>
      </c>
      <c r="Y109" s="2" t="s">
        <v>5</v>
      </c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>
      <c r="A110" s="4" t="s">
        <v>188</v>
      </c>
      <c r="B110" s="3" t="s">
        <v>201</v>
      </c>
      <c r="C110" s="2" t="s">
        <v>48</v>
      </c>
      <c r="D110" s="2"/>
      <c r="E110" s="2"/>
      <c r="F110" s="2"/>
      <c r="G110" s="2"/>
      <c r="H110" s="2"/>
      <c r="I110" s="2"/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5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 t="s">
        <v>5</v>
      </c>
      <c r="Y110" s="2" t="s">
        <v>5</v>
      </c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>
      <c r="A111" s="4" t="s">
        <v>187</v>
      </c>
      <c r="B111" s="3" t="s">
        <v>201</v>
      </c>
      <c r="C111" s="2" t="s">
        <v>48</v>
      </c>
      <c r="D111" s="2"/>
      <c r="E111" s="2"/>
      <c r="F111" s="2"/>
      <c r="G111" s="2"/>
      <c r="H111" s="2"/>
      <c r="I111" s="2"/>
      <c r="J111" s="2"/>
      <c r="K111" s="2"/>
      <c r="L111" s="2"/>
      <c r="M111" s="2" t="s">
        <v>5</v>
      </c>
      <c r="N111" s="2" t="s">
        <v>5</v>
      </c>
      <c r="O111" s="2" t="s">
        <v>5</v>
      </c>
      <c r="P111" s="2" t="s">
        <v>5</v>
      </c>
      <c r="Q111" s="2" t="s">
        <v>5</v>
      </c>
      <c r="R111" s="2" t="s">
        <v>5</v>
      </c>
      <c r="S111" s="2" t="s">
        <v>5</v>
      </c>
      <c r="T111" s="2" t="s">
        <v>5</v>
      </c>
      <c r="U111" s="2" t="s">
        <v>5</v>
      </c>
      <c r="V111" s="2" t="s">
        <v>5</v>
      </c>
      <c r="W111" s="2" t="s">
        <v>5</v>
      </c>
      <c r="X111" s="2" t="s">
        <v>5</v>
      </c>
      <c r="Y111" s="2" t="s">
        <v>5</v>
      </c>
      <c r="Z111" s="2" t="s">
        <v>5</v>
      </c>
      <c r="AA111" s="2" t="s">
        <v>5</v>
      </c>
      <c r="AB111" s="2" t="s">
        <v>5</v>
      </c>
      <c r="AC111" s="2"/>
      <c r="AD111" s="2"/>
      <c r="AE111" s="2"/>
      <c r="AF111" s="2"/>
      <c r="AG111" s="2"/>
      <c r="AH111" s="2"/>
    </row>
    <row r="112" spans="1:34">
      <c r="A112" s="4" t="s">
        <v>186</v>
      </c>
      <c r="B112" s="3" t="s">
        <v>201</v>
      </c>
      <c r="C112" s="2" t="s">
        <v>48</v>
      </c>
      <c r="D112" s="2"/>
      <c r="E112" s="2"/>
      <c r="F112" s="2"/>
      <c r="G112" s="2"/>
      <c r="H112" s="2"/>
      <c r="I112" s="2"/>
      <c r="J112" s="2"/>
      <c r="K112" s="2"/>
      <c r="L112" s="2"/>
      <c r="M112" s="2" t="s">
        <v>5</v>
      </c>
      <c r="N112" s="2" t="s">
        <v>5</v>
      </c>
      <c r="O112" s="2" t="s">
        <v>5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B112" s="2" t="s">
        <v>5</v>
      </c>
      <c r="AC112" s="2"/>
      <c r="AD112" s="2"/>
      <c r="AE112" s="2"/>
      <c r="AF112" s="2"/>
      <c r="AG112" s="2"/>
      <c r="AH112" s="2"/>
    </row>
    <row r="113" spans="1:34">
      <c r="A113" s="4" t="s">
        <v>185</v>
      </c>
      <c r="B113" s="3" t="s">
        <v>201</v>
      </c>
      <c r="C113" s="2" t="s">
        <v>48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5</v>
      </c>
      <c r="S113" s="2" t="s">
        <v>5</v>
      </c>
      <c r="T113" s="2" t="s">
        <v>5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5</v>
      </c>
      <c r="AC113" s="2" t="s">
        <v>5</v>
      </c>
      <c r="AD113" s="2" t="s">
        <v>5</v>
      </c>
      <c r="AE113" s="2" t="s">
        <v>5</v>
      </c>
      <c r="AF113" s="2" t="s">
        <v>5</v>
      </c>
      <c r="AG113" s="2" t="s">
        <v>5</v>
      </c>
      <c r="AH113" s="2"/>
    </row>
  </sheetData>
  <sortState xmlns:xlrd2="http://schemas.microsoft.com/office/spreadsheetml/2017/richdata2" ref="A2:AN111">
    <sortCondition ref="A2:A111" customList="F1,F2,F3,F4,F5,F6,F7,F8,F9,F10,F11,F12,F13,F14,F15,F16,F17,F18,F19,F20,F21,F22,F23,F24,F25,F26,F27,F28,F29,F30,F31,F32,F33,F34,F35,F36,F37,F38,F39,F40,F41,F42,F43,F44,F45,F46,F47,F48,F49,F50,F51,F52,F53,F54,F55,F56,F57,F58,F59,F60,F61,F62,F63,F64,F65,F66,F67,F68,F69,F70,F71,F72,F73,F74,F75,F76,F78,F79,F80,F81,F82,F83,F84,F85,F86,F87,F88,F89,F90,F91,F92,F93,Q94,Q95,Q96,Q97,Q98,Q99,Q100,Q101,Q102,Q103,Q104,Q105,Q106,Q107,Q108,Q109,Q110,Q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777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Huryn</dc:creator>
  <cp:lastModifiedBy>Andrew Huryn</cp:lastModifiedBy>
  <dcterms:created xsi:type="dcterms:W3CDTF">2026-04-12T19:07:40Z</dcterms:created>
  <dcterms:modified xsi:type="dcterms:W3CDTF">2026-04-12T19:23:21Z</dcterms:modified>
</cp:coreProperties>
</file>